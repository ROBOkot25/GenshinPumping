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E:\3. Игры\Геншин\"/>
    </mc:Choice>
  </mc:AlternateContent>
  <xr:revisionPtr revIDLastSave="0" documentId="13_ncr:1_{B936C036-9AA8-435E-B8E4-2255D4196055}" xr6:coauthVersionLast="47" xr6:coauthVersionMax="47" xr10:uidLastSave="{00000000-0000-0000-0000-000000000000}"/>
  <x:bookViews>
    <x:workbookView xWindow="-120" yWindow="-120" windowWidth="29040" windowHeight="15840" firstSheet="0" activeTab="2" xr2:uid="{00000000-000D-0000-FFFF-FFFF00000000}"/>
  </x:bookViews>
  <x:sheets>
    <x:sheet name="Стандарт" sheetId="1" r:id="rId1"/>
    <x:sheet name="Ивентовые" sheetId="2" r:id="rId2"/>
    <x:sheet name="Прокачка" sheetId="3" r:id="rId3"/>
    <x:sheet name="Задания" sheetId="4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A2" i="1"/>
  <x:c r="J3" i="1"/>
  <x:c r="K3" i="1"/>
  <x:c r="J4" i="1"/>
  <x:c r="K4" i="1"/>
  <x:c r="J5" i="1"/>
  <x:c r="K5" i="1"/>
  <x:c r="J6" i="1"/>
  <x:c r="K6" i="1"/>
  <x:c r="J7" i="1"/>
  <x:c r="K7" i="1"/>
  <x:c r="J8" i="1"/>
  <x:c r="K8" i="1"/>
  <x:c r="J9" i="1"/>
  <x:c r="K9" i="1"/>
  <x:c r="J10" i="1"/>
  <x:c r="K10" i="1"/>
  <x:c r="J12" i="1"/>
  <x:c r="K12" i="1"/>
  <x:c r="J14" i="1"/>
  <x:c r="K14" i="1"/>
  <x:c r="J19" i="1"/>
  <x:c r="K19" i="1"/>
  <x:c r="J25" i="1"/>
  <x:c r="K25" i="1"/>
  <x:c r="J31" i="1"/>
  <x:c r="K31" i="1"/>
  <x:c r="J37" i="1"/>
  <x:c r="K37" i="1"/>
  <x:c r="I44" i="1"/>
  <x:c r="A2" i="2"/>
  <x:c r="J3" i="2"/>
  <x:c r="K3" i="2"/>
  <x:c r="J5" i="2"/>
  <x:c r="K5" i="2"/>
  <x:c r="J9" i="2"/>
  <x:c r="K9" i="2"/>
  <x:c r="J11" i="2"/>
  <x:c r="K11" i="2"/>
  <x:c r="U4" i="3"/>
  <x:c r="W4" i="3"/>
  <x:c r="Y4" i="3"/>
  <x:c r="AA4" i="3"/>
  <x:c r="AC4" i="3"/>
  <x:c r="AE4" i="3"/>
  <x:c r="AG4" i="3"/>
  <x:c r="AH4" i="3"/>
  <x:c r="U5" i="3"/>
  <x:c r="W5" i="3"/>
  <x:c r="Y5" i="3"/>
  <x:c r="AA5" i="3"/>
  <x:c r="AC5" i="3"/>
  <x:c r="AG5" i="3"/>
  <x:c r="A6" i="3"/>
  <x:c r="U6" i="3"/>
  <x:c r="W6" i="3"/>
  <x:c r="Y6" i="3"/>
  <x:c r="AA6" i="3"/>
  <x:c r="AC6" i="3"/>
  <x:c r="H7" i="3"/>
  <x:c r="U7" i="3"/>
  <x:c r="Y7" i="3"/>
  <x:c r="AA7" i="3"/>
  <x:c r="AC7" i="3"/>
  <x:c r="H8" i="3"/>
  <x:c r="Y8" i="3"/>
  <x:c r="H9" i="3"/>
  <x:c r="Y9" i="3"/>
  <x:c r="H10" i="3"/>
  <x:c r="H11" i="3"/>
  <x:c r="H12" i="3"/>
  <x:c r="H13" i="3"/>
  <x:c r="U13" i="3"/>
  <x:c r="W13" i="3"/>
  <x:c r="Y13" i="3"/>
  <x:c r="AA13" i="3"/>
  <x:c r="AC13" i="3"/>
  <x:c r="AE13" i="3"/>
  <x:c r="AG13" i="3"/>
  <x:c r="AH13" i="3"/>
  <x:c r="H14" i="3"/>
  <x:c r="U14" i="3"/>
  <x:c r="W14" i="3"/>
  <x:c r="AA14" i="3"/>
  <x:c r="AC14" i="3"/>
  <x:c r="AE14" i="3"/>
  <x:c r="AG14" i="3"/>
  <x:c r="H15" i="3"/>
  <x:c r="W15" i="3"/>
  <x:c r="AA15" i="3"/>
  <x:c r="AC15" i="3"/>
  <x:c r="AE15" i="3"/>
  <x:c r="AG15" i="3"/>
  <x:c r="H16" i="3"/>
  <x:c r="AC16" i="3"/>
  <x:c r="AE16" i="3"/>
  <x:c r="H17" i="3"/>
  <x:c r="H18" i="3"/>
  <x:c r="H19" i="3"/>
  <x:c r="U19" i="3"/>
  <x:c r="W19" i="3"/>
  <x:c r="Y19" i="3"/>
  <x:c r="AA19" i="3"/>
  <x:c r="AC19" i="3"/>
  <x:c r="AE19" i="3"/>
  <x:c r="AG19" i="3"/>
  <x:c r="AH19" i="3"/>
  <x:c r="H20" i="3"/>
  <x:c r="U20" i="3"/>
  <x:c r="W20" i="3"/>
  <x:c r="Y20" i="3"/>
  <x:c r="AA20" i="3"/>
  <x:c r="AC20" i="3"/>
  <x:c r="AE20" i="3"/>
  <x:c r="H21" i="3"/>
  <x:c r="U21" i="3"/>
  <x:c r="W21" i="3"/>
  <x:c r="Y21" i="3"/>
  <x:c r="AA21" i="3"/>
  <x:c r="AC21" i="3"/>
  <x:c r="AE21" i="3"/>
  <x:c r="B22" i="3"/>
  <x:c r="C22" i="3"/>
  <x:c r="D22" i="3"/>
  <x:c r="E22" i="3"/>
  <x:c r="F22" i="3"/>
  <x:c r="G22" i="3"/>
  <x:c r="U22" i="3"/>
  <x:c r="W22" i="3"/>
  <x:c r="Y22" i="3"/>
  <x:c r="AA22" i="3"/>
  <x:c r="AC22" i="3"/>
  <x:c r="B23" i="3"/>
  <x:c r="C23" i="3"/>
  <x:c r="D23" i="3"/>
  <x:c r="E23" i="3"/>
  <x:c r="F23" i="3"/>
  <x:c r="U23" i="3"/>
  <x:c r="W23" i="3"/>
  <x:c r="AA23" i="3"/>
  <x:c r="U24" i="3"/>
  <x:c r="W24" i="3"/>
  <x:c r="AA24" i="3"/>
  <x:c r="U25" i="3"/>
  <x:c r="U26" i="3"/>
  <x:c r="A27" i="3"/>
  <x:c r="U27" i="3"/>
  <x:c r="H28" i="3"/>
  <x:c r="H29" i="3"/>
  <x:c r="H30" i="3"/>
  <x:c r="AH30" i="3"/>
  <x:c r="H31" i="3"/>
  <x:c r="H32" i="3"/>
  <x:c r="T32" i="3"/>
  <x:c r="V32" i="3"/>
  <x:c r="X32" i="3"/>
  <x:c r="Z32" i="3"/>
  <x:c r="AB32" i="3"/>
  <x:c r="AD32" i="3"/>
  <x:c r="AF32" i="3"/>
  <x:c r="H33" i="3"/>
  <x:c r="H34" i="3"/>
  <x:c r="H35" i="3"/>
  <x:c r="H36" i="3"/>
  <x:c r="T36" i="3"/>
  <x:c r="B37" i="3"/>
  <x:c r="C37" i="3"/>
  <x:c r="D37" i="3"/>
  <x:c r="E37" i="3"/>
  <x:c r="F37" i="3"/>
  <x:c r="G37" i="3"/>
  <x:c r="B38" i="3"/>
  <x:c r="C38" i="3"/>
  <x:c r="D38" i="3"/>
  <x:c r="E38" i="3"/>
  <x:c r="F38" i="3"/>
  <x:c r="A44" i="3"/>
  <x:c r="H45" i="3"/>
  <x:c r="H46" i="3"/>
  <x:c r="H47" i="3"/>
  <x:c r="U47" i="3"/>
  <x:c r="W47" i="3"/>
  <x:c r="Y47" i="3"/>
  <x:c r="AA47" i="3"/>
  <x:c r="AC47" i="3"/>
  <x:c r="AE47" i="3"/>
  <x:c r="AG47" i="3"/>
  <x:c r="AH47" i="3"/>
  <x:c r="H48" i="3"/>
  <x:c r="U48" i="3"/>
  <x:c r="W48" i="3"/>
  <x:c r="Y48" i="3"/>
  <x:c r="AA48" i="3"/>
  <x:c r="AC48" i="3"/>
  <x:c r="AG48" i="3"/>
  <x:c r="H49" i="3"/>
  <x:c r="U49" i="3"/>
  <x:c r="W49" i="3"/>
  <x:c r="Y49" i="3"/>
  <x:c r="AA49" i="3"/>
  <x:c r="AC49" i="3"/>
  <x:c r="H50" i="3"/>
  <x:c r="Y50" i="3"/>
  <x:c r="AA50" i="3"/>
  <x:c r="AC50" i="3"/>
  <x:c r="H51" i="3"/>
  <x:c r="Y51" i="3"/>
  <x:c r="H52" i="3"/>
  <x:c r="Y52" i="3"/>
  <x:c r="H53" i="3"/>
  <x:c r="B54" i="3"/>
  <x:c r="C54" i="3"/>
  <x:c r="D54" i="3"/>
  <x:c r="E54" i="3"/>
  <x:c r="F54" i="3"/>
  <x:c r="G54" i="3"/>
  <x:c r="B55" i="3"/>
  <x:c r="C55" i="3"/>
  <x:c r="D55" i="3"/>
  <x:c r="E55" i="3"/>
  <x:c r="F55" i="3"/>
  <x:c r="U56" i="3"/>
  <x:c r="W56" i="3"/>
  <x:c r="Y56" i="3"/>
  <x:c r="AA56" i="3"/>
  <x:c r="AC56" i="3"/>
  <x:c r="AE56" i="3"/>
  <x:c r="AG56" i="3"/>
  <x:c r="AH56" i="3"/>
  <x:c r="U57" i="3"/>
  <x:c r="W57" i="3"/>
  <x:c r="AA57" i="3"/>
  <x:c r="AC57" i="3"/>
  <x:c r="AE57" i="3"/>
  <x:c r="AG57" i="3"/>
  <x:c r="W58" i="3"/>
  <x:c r="AA58" i="3"/>
  <x:c r="AC58" i="3"/>
  <x:c r="AE58" i="3"/>
  <x:c r="AG58" i="3"/>
  <x:c r="A59" i="3"/>
  <x:c r="AC59" i="3"/>
  <x:c r="AE59" i="3"/>
  <x:c r="H60" i="3"/>
  <x:c r="H61" i="3"/>
  <x:c r="H62" i="3"/>
  <x:c r="U62" i="3"/>
  <x:c r="W62" i="3"/>
  <x:c r="Y62" i="3"/>
  <x:c r="AA62" i="3"/>
  <x:c r="AC62" i="3"/>
  <x:c r="AE62" i="3"/>
  <x:c r="AG62" i="3"/>
  <x:c r="AH62" i="3"/>
  <x:c r="H63" i="3"/>
  <x:c r="U63" i="3"/>
  <x:c r="W63" i="3"/>
  <x:c r="Y63" i="3"/>
  <x:c r="AA63" i="3"/>
  <x:c r="AC63" i="3"/>
  <x:c r="AE63" i="3"/>
  <x:c r="H64" i="3"/>
  <x:c r="U64" i="3"/>
  <x:c r="W64" i="3"/>
  <x:c r="Y64" i="3"/>
  <x:c r="AA64" i="3"/>
  <x:c r="AC64" i="3"/>
  <x:c r="AE64" i="3"/>
  <x:c r="H65" i="3"/>
  <x:c r="U65" i="3"/>
  <x:c r="W65" i="3"/>
  <x:c r="Y65" i="3"/>
  <x:c r="AA65" i="3"/>
  <x:c r="AC65" i="3"/>
  <x:c r="H66" i="3"/>
  <x:c r="U66" i="3"/>
  <x:c r="W66" i="3"/>
  <x:c r="AA66" i="3"/>
  <x:c r="AC66" i="3"/>
  <x:c r="H67" i="3"/>
  <x:c r="U67" i="3"/>
  <x:c r="W67" i="3"/>
  <x:c r="AA67" i="3"/>
  <x:c r="H68" i="3"/>
  <x:c r="U68" i="3"/>
  <x:c r="H69" i="3"/>
  <x:c r="U69" i="3"/>
  <x:c r="H70" i="3"/>
  <x:c r="U70" i="3"/>
  <x:c r="B71" i="3"/>
  <x:c r="C71" i="3"/>
  <x:c r="D71" i="3"/>
  <x:c r="E71" i="3"/>
  <x:c r="F71" i="3"/>
  <x:c r="G71" i="3"/>
  <x:c r="B72" i="3"/>
  <x:c r="C72" i="3"/>
  <x:c r="D72" i="3"/>
  <x:c r="E72" i="3"/>
  <x:c r="F72" i="3"/>
  <x:c r="AH73" i="3"/>
  <x:c r="T75" i="3"/>
  <x:c r="V75" i="3"/>
  <x:c r="X75" i="3"/>
  <x:c r="Z75" i="3"/>
  <x:c r="AB75" i="3"/>
  <x:c r="AD75" i="3"/>
  <x:c r="AF75" i="3"/>
  <x:c r="A76" i="3"/>
  <x:c r="G77" i="3"/>
  <x:c r="G78" i="3"/>
  <x:c r="G79" i="3"/>
  <x:c r="G80" i="3"/>
  <x:c r="G81" i="3"/>
  <x:c r="T81" i="3"/>
  <x:c r="G82" i="3"/>
  <x:c r="G83" i="3"/>
  <x:c r="G84" i="3"/>
  <x:c r="G85" i="3"/>
  <x:c r="G86" i="3"/>
  <x:c r="G87" i="3"/>
  <x:c r="G88" i="3"/>
  <x:c r="G89" i="3"/>
  <x:c r="G90" i="3"/>
  <x:c r="G91" i="3"/>
  <x:c r="G92" i="3"/>
  <x:c r="G93" i="3"/>
  <x:c r="G94" i="3"/>
  <x:c r="G95" i="3"/>
  <x:c r="G96" i="3"/>
  <x:c r="G97" i="3"/>
  <x:c r="G98" i="3"/>
  <x:c r="G99" i="3"/>
  <x:c r="G100" i="3"/>
  <x:c r="G101" i="3"/>
  <x:c r="G102" i="3"/>
  <x:c r="G103" i="3"/>
  <x:c r="G104" i="3"/>
  <x:c r="G105" i="3"/>
  <x:c r="G106" i="3"/>
  <x:c r="G107" i="3"/>
  <x:c r="G108" i="3"/>
  <x:c r="G109" i="3"/>
  <x:c r="G110" i="3"/>
  <x:c r="B111" i="3"/>
  <x:c r="C111" i="3"/>
  <x:c r="D111" i="3"/>
  <x:c r="E111" i="3"/>
  <x:c r="F111" i="3"/>
  <x:c r="G111" i="3"/>
  <x:c r="B112" i="3"/>
  <x:c r="C112" i="3"/>
  <x:c r="D112" i="3"/>
  <x:c r="E112" i="3"/>
  <x:c r="F112" i="3"/>
  <x:c r="B113" i="3"/>
  <x:c r="C113" i="3"/>
  <x:c r="D113" i="3"/>
</x:calcChain>
</file>

<file path=xl/sharedStrings.xml><?xml version="1.0" encoding="utf-8"?>
<x:sst xmlns:x="http://schemas.openxmlformats.org/spreadsheetml/2006/main">
  <x:si>
    <x:t>Персонажи</x:t>
  </x:si>
  <x:si>
    <x:t>Консты</x:t>
  </x:si>
  <x:si>
    <x:t>Кол-во конст у персонажей:</x:t>
  </x:si>
  <x:si>
    <x:t>Барбара</x:t>
  </x:si>
  <x:si>
    <x:t>Нет конст</x:t>
  </x:si>
  <x:si>
    <x:t>1-ая</x:t>
  </x:si>
  <x:si>
    <x:t>2-ая</x:t>
  </x:si>
  <x:si>
    <x:t>3-я</x:t>
  </x:si>
  <x:si>
    <x:t>4-я</x:t>
  </x:si>
  <x:si>
    <x:t>5-я</x:t>
  </x:si>
  <x:si>
    <x:t>6-я</x:t>
  </x:si>
  <x:si>
    <x:t>Беннет</x:t>
  </x:si>
  <x:si>
    <x:t>Шесть</x:t>
  </x:si>
  <x:si>
    <x:t>Розария</x:t>
  </x:si>
  <x:si>
    <x:t>Рейзор</x:t>
  </x:si>
  <x:si>
    <x:t>Пять</x:t>
  </x:si>
  <x:si>
    <x:t>Ноэлль</x:t>
  </x:si>
  <x:si>
    <x:t>Сян Лин</x:t>
  </x:si>
  <x:si>
    <x:t>Четыре</x:t>
  </x:si>
  <x:si>
    <x:t>Диона</x:t>
  </x:si>
  <x:si>
    <x:t>Бей Доу</x:t>
  </x:si>
  <x:si>
    <x:t>Три</x:t>
  </x:si>
  <x:si>
    <x:t>Син Цю</x:t>
  </x:si>
  <x:si>
    <x:t>Две</x:t>
  </x:si>
  <x:si>
    <x:t>Янь Фей</x:t>
  </x:si>
  <x:si>
    <x:t>Нин Гуан</x:t>
  </x:si>
  <x:si>
    <x:t>Одна</x:t>
  </x:si>
  <x:si>
    <x:t>Фишль</x:t>
  </x:si>
  <x:si>
    <x:t>Нет персонажа</x:t>
  </x:si>
  <x:si>
    <x:t>Син Янь</x:t>
  </x:si>
  <x:si>
    <x:t>Итого:</x:t>
  </x:si>
  <x:si>
    <x:t>Чун Юнь</x:t>
  </x:si>
  <x:si>
    <x:t>Персонажи с шестой констой</x:t>
  </x:si>
  <x:si>
    <x:t>Тома</x:t>
  </x:si>
  <x:si>
    <x:t>Сахароза</x:t>
  </x:si>
  <x:si>
    <x:t>Саю</x:t>
  </x:si>
  <x:si>
    <x:t>Персонажи без шестой консты:</x:t>
  </x:si>
  <x:si>
    <x:t>Юнь Цзинь</x:t>
  </x:si>
  <x:si>
    <x:t>Ка Мин</x:t>
  </x:si>
  <x:si>
    <x:t>Кол-во за 80 круток</x:t>
  </x:si>
  <x:si>
    <x:t>Шанс выпадения за 10 круток</x:t>
  </x:si>
  <x:si>
    <x:t>Коллеи</x:t>
  </x:si>
  <x:si>
    <x:t>Кандакия</x:t>
  </x:si>
  <x:si>
    <x:t>Качина</x:t>
  </x:si>
  <x:si>
    <x:t>Сара</x:t>
  </x:si>
  <x:si>
    <x:t>Шанс выпадения "бесплатной крутки" (0 C6 в баннере):</x:t>
  </x:si>
  <x:si>
    <x:t>Оророн</x:t>
  </x:si>
  <x:si>
    <x:t>Айно</x:t>
  </x:si>
  <x:si>
    <x:t>Горо</x:t>
  </x:si>
  <x:si>
    <x:t>Иллуги</x:t>
  </x:si>
  <x:si>
    <x:t>Шеврёз</x:t>
  </x:si>
  <x:si>
    <x:t>Синобу</x:t>
  </x:si>
  <x:si>
    <x:t>Дори</x:t>
  </x:si>
  <x:si>
    <x:t>Хейдзо</x:t>
  </x:si>
  <x:si>
    <x:t>Шанс выпадения "бесплатной крутки" (1 C6 в баннере):</x:t>
  </x:si>
  <x:si>
    <x:t>Лайла</x:t>
  </x:si>
  <x:si>
    <x:t>Фарузан</x:t>
  </x:si>
  <x:si>
    <x:t>Кавех</x:t>
  </x:si>
  <x:si>
    <x:t>Яо Яо</x:t>
  </x:si>
  <x:si>
    <x:t>Мика</x:t>
  </x:si>
  <x:si>
    <x:t>Шанс выпадения "бесплатной крутки" (2 C6 в баннере):</x:t>
  </x:si>
  <x:si>
    <x:t>Шарлотта</x:t>
  </x:si>
  <x:si>
    <x:t>Линетт</x:t>
  </x:si>
  <x:si>
    <x:t>Кирара</x:t>
  </x:si>
  <x:si>
    <x:t>Фремине</x:t>
  </x:si>
  <x:si>
    <x:t>Шанс выпадения "бесплатной крутки" (3 C6 в баннере):</x:t>
  </x:si>
  <x:si>
    <x:t>Сетос</x:t>
  </x:si>
  <x:si>
    <x:t>Лань Янь</x:t>
  </x:si>
  <x:si>
    <x:t>Иансан</x:t>
  </x:si>
  <x:si>
    <x:t>План выполнен на:</x:t>
  </x:si>
  <x:si>
    <x:t>Далия</x:t>
  </x:si>
  <x:si>
    <x:t>Ифа</x:t>
  </x:si>
  <x:si>
    <x:t>НЕТ ПЕРСОНАЖА</x:t>
  </x:si>
  <x:si>
    <x:t>Ягода</x:t>
  </x:si>
  <x:si>
    <x:t>-</x:t>
  </x:si>
  <x:si>
    <x:t>Итого (ивентовые):</x:t>
  </x:si>
  <x:si>
    <x:t>Кого бы я выбил из-за:</x:t>
  </x:si>
  <x:si>
    <x:t>Приоритет выбивания</x:t>
  </x:si>
  <x:si>
    <x:t>Примерная дата рерана</x:t>
  </x:si>
  <x:si>
    <x:t>СТАНДАРТНЫЕ ЛЕГИ</x:t>
  </x:si>
  <x:si>
    <x:t>Персонажей выбито:</x:t>
  </x:si>
  <x:si>
    <x:t>Кли</x:t>
  </x:si>
  <x:si>
    <x:t>НЕ ЗАИНТЕРЕСОВАН</x:t>
  </x:si>
  <x:si>
    <x:t>Шеньхе</x:t>
  </x:si>
  <x:si>
    <x:t>Ноябрь 2024 (возможно 5.0-5.2)</x:t>
  </x:si>
  <x:si>
    <x:t>Тарталья</x:t>
  </x:si>
  <x:si>
    <x:t>Итто</x:t>
  </x:si>
  <x:si>
    <x:t>Не ранее января 2025</x:t>
  </x:si>
  <x:si>
    <x:t>был в 4.5, 3.3, 2.7, 2.3</x:t>
  </x:si>
  <x:si>
    <x:t>Джинн</x:t>
  </x:si>
  <x:si>
    <x:t>Персонажей не выбито:</x:t>
  </x:si>
  <x:si>
    <x:t>Альбедо</x:t>
  </x:si>
  <x:si>
    <x:t>НРАВИТСЯ ПЕРСОНАЖ (7/10)</x:t>
  </x:si>
  <x:si>
    <x:t>Аль-Хайтам</x:t>
  </x:si>
  <x:si>
    <x:t>Дилюк</x:t>
  </x:si>
  <x:si>
    <x:t>Сяо</x:t>
  </x:si>
  <x:si>
    <x:t>Мона</x:t>
  </x:si>
  <x:si>
    <x:t>План "Полный стандарт C6":</x:t>
  </x:si>
  <x:si>
    <x:t>Ёимия</x:t>
  </x:si>
  <x:si>
    <x:t>Навия</x:t>
  </x:si>
  <x:si>
    <x:t>Цици</x:t>
  </x:si>
  <x:si>
    <x:t>Аято</x:t>
  </x:si>
  <x:si>
    <x:t>Ке Цин</x:t>
  </x:si>
  <x:si>
    <x:t>Конст выбито:</x:t>
  </x:si>
  <x:si>
    <x:t>Мидзуки</x:t>
  </x:si>
  <x:si>
    <x:t>Яэ Мико</x:t>
  </x:si>
  <x:si>
    <x:t>Тигнари</x:t>
  </x:si>
  <x:si>
    <x:t>Конст осталось:</x:t>
  </x:si>
  <x:si>
    <x:t>Дэхья</x:t>
  </x:si>
  <x:si>
    <x:t>Сайно</x:t>
  </x:si>
  <x:si>
    <x:t>ИВЕНТОВЫЕ ЛЕГИ</x:t>
  </x:si>
  <x:si>
    <x:t>Нилу</x:t>
  </x:si>
  <x:si>
    <x:t>Странник</x:t>
  </x:si>
  <x:si>
    <x:t>Венти</x:t>
  </x:si>
  <x:si>
    <x:t>НРАВИТСЯ ПЕРСОНАЖ (7/10) + ХАРАКТЕРИСТИКИ</x:t>
  </x:si>
  <x:si>
    <x:t>Бай Чжу</x:t>
  </x:si>
  <x:si>
    <x:t>Лини</x:t>
  </x:si>
  <x:si>
    <x:t>НРАВИТСЯ ПЕРСОНАЖ (4/10) + ХАРАКТЕРИСТИКИ</x:t>
  </x:si>
  <x:si>
    <x:t>Чжун Ли</x:t>
  </x:si>
  <x:si>
    <x:t>НРАВИТСЯ ПЕРСОНАЖ (8/10) + ХАРАКТЕРИСТИКИ</x:t>
  </x:si>
  <x:si>
    <x:t>Сянь Юнь</x:t>
  </x:si>
  <x:si>
    <x:t>Гань Юй</x:t>
  </x:si>
  <x:si>
    <x:t>Тиори</x:t>
  </x:si>
  <x:si>
    <x:t>Синджвин</x:t>
  </x:si>
  <x:si>
    <x:t>Ху Тао</x:t>
  </x:si>
  <x:si>
    <x:t>Эмилия</x:t>
  </x:si>
  <x:si>
    <x:t>Эола</x:t>
  </x:si>
  <x:si>
    <x:t>Кинич</x:t>
  </x:si>
  <x:si>
    <x:t>Кадзуха</x:t>
  </x:si>
  <x:si>
    <x:t>Вареса</x:t>
  </x:si>
  <x:si>
    <x:t>Аяка</x:t>
  </x:si>
  <x:si>
    <x:t>Эскофье</x:t>
  </x:si>
  <x:si>
    <x:t>Скирк</x:t>
  </x:si>
  <x:si>
    <x:t>Райден</x:t>
  </x:si>
  <x:si>
    <x:t>Инеффа</x:t>
  </x:si>
  <x:si>
    <x:t>Кокоми</x:t>
  </x:si>
  <x:si>
    <x:t>Лаума</x:t>
  </x:si>
  <x:si>
    <x:t>БАННЕРЫ ХРОНИК</x:t>
  </x:si>
  <x:si>
    <x:t>МОНДШТАДТ</x:t>
  </x:si>
  <x:si>
    <x:t>Е Лань</x:t>
  </x:si>
  <x:si>
    <x:t>НУЖНА КОНСТА</x:t>
  </x:si>
  <x:si>
    <x:t>Нахида</x:t>
  </x:si>
  <x:si>
    <x:t>КОНСТА - НЕПЛОХОЙ ИСХОД</x:t>
  </x:si>
  <x:si>
    <x:t>ЛИ ЮЭ</x:t>
  </x:si>
  <x:si>
    <x:t>Ризли</x:t>
  </x:si>
  <x:si>
    <x:t>Нёвиллет</x:t>
  </x:si>
  <x:si>
    <x:t>НРАВИТСЯ ПЕРСОНАЖ (4/10)</x:t>
  </x:si>
  <x:si>
    <x:t>Фурина</x:t>
  </x:si>
  <x:si>
    <x:t>Арлекино</x:t>
  </x:si>
  <x:si>
    <x:t>ИНАДЗУМА</x:t>
  </x:si>
  <x:si>
    <x:t>Клоринда</x:t>
  </x:si>
  <x:si>
    <x:t>Муалани</x:t>
  </x:si>
  <x:si>
    <x:t>Шилонен</x:t>
  </x:si>
  <x:si>
    <x:t>Часка</x:t>
  </x:si>
  <x:si>
    <x:t>Ситлали</x:t>
  </x:si>
  <x:si>
    <x:t>Мавуика</x:t>
  </x:si>
  <x:si>
    <x:t>СУМЕРУ</x:t>
  </x:si>
  <x:si>
    <x:t>Флинс</x:t>
  </x:si>
  <x:si>
    <x:t>Нефер</x:t>
  </x:si>
  <x:si>
    <x:t>Дурин</x:t>
  </x:si>
  <x:si>
    <x:t>Колумбина</x:t>
  </x:si>
  <x:si>
    <x:t>Цзы Бай</x:t>
  </x:si>
  <x:si>
    <x:t>Линнея</x:t>
  </x:si>
  <x:si>
    <x:t>АКАША</x:t>
  </x:si>
  <x:si>
    <x:t>Всего</x:t>
  </x:si>
  <x:si>
    <x:t>Крио</x:t>
  </x:si>
  <x:si>
    <x:t>Анемо</x:t>
  </x:si>
  <x:si>
    <x:t>Гидро</x:t>
  </x:si>
  <x:si>
    <x:t>Пиро</x:t>
  </x:si>
  <x:si>
    <x:t>Электро</x:t>
  </x:si>
  <x:si>
    <x:t>Гео</x:t>
  </x:si>
  <x:si>
    <x:t>Дендро</x:t>
  </x:si>
  <x:si>
    <x:t>МАШИНЫ</x:t>
  </x:si>
  <x:si>
    <x:t>Lvl</x:t>
  </x:si>
  <x:si>
    <x:t>Оружие</x:t>
  </x:si>
  <x:si>
    <x:t>Таланты</x:t>
  </x:si>
  <x:si>
    <x:t>Артефакты (топ Акаша)</x:t>
  </x:si>
  <x:si>
    <x:t>Статус</x:t>
  </x:si>
  <x:si>
    <x:t>HP</x:t>
  </x:si>
  <x:si>
    <x:t>АТК</x:t>
  </x:si>
  <x:si>
    <x:t>ЗАЩИТА</x:t>
  </x:si>
  <x:si>
    <x:t>МС</x:t>
  </x:si>
  <x:si>
    <x:t>ВОССТ.</x:t>
  </x:si>
  <x:si>
    <x:t>ШК</x:t>
  </x:si>
  <x:si>
    <x:t>КУ</x:t>
  </x:si>
  <x:si>
    <x:t>СЕТ АРТЕФАКТОВ</x:t>
  </x:si>
  <x:si>
    <x:t>ОРУЖИЕ</x:t>
  </x:si>
  <x:si>
    <x:t>Группа</x:t>
  </x:si>
  <x:si>
    <x:t>Сияние Вурукаши (2 шт.) + Стойкость Миллелита (2 шт.)</x:t>
  </x:si>
  <x:si>
    <x:t>Чёрная кисть (R5)</x:t>
  </x:si>
  <x:si>
    <x:t>FULL</x:t>
  </x:si>
  <x:si>
    <x:t>Охотник Сумеречного двора (4 шт.)</x:t>
  </x:si>
  <x:si>
    <x:t>Молитва святым ветрам</x:t>
  </x:si>
  <x:si>
    <x:t>Фрагмент гармонической фантазии (4 шт.)</x:t>
  </x:si>
  <x:si>
    <x:t>Нефритовый коршун</x:t>
  </x:si>
  <x:si>
    <x:t>Моллюск морских красок (4 шт.)</x:t>
  </x:si>
  <x:si>
    <x:t>Эпос о драконоборцах</x:t>
  </x:si>
  <x:si>
    <x:t>Эмблема рассечённой судьбы (4 шт.)</x:t>
  </x:si>
  <x:si>
    <x:t>Улов</x:t>
  </x:si>
  <x:si>
    <x:t>НЕТ В АКАШЕ</x:t>
  </x:si>
  <x:si>
    <x:t>Золотая труппа (4 шт.)</x:t>
  </x:si>
  <x:si>
    <x:t>Перевозчик Флёр Сандр (R2)</x:t>
  </x:si>
  <x:si>
    <x:t>Заблудший в метели (4 шт.)</x:t>
  </x:si>
  <x:si>
    <x:t>Черногорский длинный меч</x:t>
  </x:si>
  <x:si>
    <x:t>Изумрудная тень (4 шт.)</x:t>
  </x:si>
  <x:si>
    <x:t>Стальное жало (R3)</x:t>
  </x:si>
  <x:si>
    <x:t>Копьё Фавония (R3)</x:t>
  </x:si>
  <x:si>
    <x:t>Обсидиановый фолиант (2 шт.)</x:t>
  </x:si>
  <x:si>
    <x:t>Волчья погибель</x:t>
  </x:si>
  <x:si>
    <x:t>Церемония древней знати (4 шт.)</x:t>
  </x:si>
  <x:si>
    <x:t>Церемониальный меч</x:t>
  </x:si>
  <x:si>
    <x:t>ЗАТЫЧКИ</x:t>
  </x:si>
  <x:si>
    <x:t>Обсидиановый фолиант (4 шт.)</x:t>
  </x:si>
  <x:si>
    <x:t>Кольцо Яшче</x:t>
  </x:si>
  <x:si>
    <x:t>Воспоминания дремучего леса (4 шт.; один - 4*)</x:t>
  </x:si>
  <x:si>
    <x:t>Церемониальные мемуары (R5)</x:t>
  </x:si>
  <x:si>
    <x:t>Кэйа</x:t>
  </x:si>
  <x:si>
    <x:t>Эмбер</x:t>
  </x:si>
  <x:si>
    <x:t>Небесная ось (R1)</x:t>
  </x:si>
  <x:si>
    <x:t>90/80</x:t>
  </x:si>
  <x:si>
    <x:t>Синь Янь</x:t>
  </x:si>
  <x:si>
    <x:t>Эмблема рассечённой судьбы (3 шт. + 1 другой)</x:t>
  </x:si>
  <x:si>
    <x:t>Боевой лук Фавония (R1)</x:t>
  </x:si>
  <x:si>
    <x:t>Среднее</x:t>
  </x:si>
  <x:si>
    <x:t>Элой</x:t>
  </x:si>
  <x:si>
    <x:t>Лиза</x:t>
  </x:si>
  <x:si>
    <x:t>Медиана</x:t>
  </x:si>
  <x:si>
    <x:t>СРЕДНИЙ УРОВЕНЬ</x:t>
  </x:si>
  <x:si>
    <x:t>Прототип: Полумесяц (R4)</x:t>
  </x:si>
  <x:si>
    <x:t>ИТОГО</x:t>
  </x:si>
  <x:si>
    <x:t>Готовы</x:t>
  </x:si>
  <x:si>
    <x:t>Церемониальный лук</x:t>
  </x:si>
  <x:si>
    <x:t>Бесструнный (R5)</x:t>
  </x:si>
  <x:si>
    <x:t>Меч Фавония</x:t>
  </x:si>
  <x:si>
    <x:t>Воспоминания дремучего леса (2 шт.) + Странств. ансамбль (2 шт.)</x:t>
  </x:si>
  <x:si>
    <x:t>Приближённый короля</x:t>
  </x:si>
  <x:si>
    <x:t>Золотая труппа (2 шт.; 2 не хватает)</x:t>
  </x:si>
  <x:si>
    <x:t>Бесструнный</x:t>
  </x:si>
  <x:si>
    <x:t>В ЭТОМ СЕЗОНЕ:</x:t>
  </x:si>
  <x:si>
    <x:t>Горячая алая ведьма (4 шт.)</x:t>
  </x:si>
  <x:si>
    <x:t>Гроза драконов</x:t>
  </x:si>
  <x:si>
    <x:t>КТО ПРОХОДИТ ПО УРОВНЮ В ТЕАТР?</x:t>
  </x:si>
  <x:si>
    <x:t>Артефакты (оценка геншина)</x:t>
  </x:si>
  <x:si>
    <x:t>+</x:t>
  </x:si>
  <x:si>
    <x:t>Церемониальные мемуары</x:t>
  </x:si>
  <x:si>
    <x:t>Иссушитель</x:t>
  </x:si>
  <x:si>
    <x:t>Ржавый лук</x:t>
  </x:si>
  <x:si>
    <x:t>Свиток героя сожжённого города (4 шт.)</x:t>
  </x:si>
  <x:si>
    <x:t>Флейта Эспицаль (R1)</x:t>
  </x:si>
  <x:si>
    <x:t>Свиток героя сожжённого города (2 шт.)</x:t>
  </x:si>
  <x:si>
    <x:t>Кодекс Фавония</x:t>
  </x:si>
  <x:si>
    <x:t>Драконий рык</x:t>
  </x:si>
  <x:si>
    <x:t>90/20+</x:t>
  </x:si>
  <x:si>
    <x:t>След радуги</x:t>
  </x:si>
  <x:si>
    <x:t>1 артефакт</x:t>
  </x:si>
  <x:si>
    <x:t>Боевой лук Фавония</x:t>
  </x:si>
  <x:si>
    <x:t>Кокон сладких грёз (4 шт.)</x:t>
  </x:si>
  <x:si>
    <x:t>Белая тень</x:t>
  </x:si>
  <x:si>
    <x:t>90/40+</x:t>
  </x:si>
  <x:si>
    <x:t>Меч-флейта</x:t>
  </x:si>
  <x:si>
    <x:t>Око сознания</x:t>
  </x:si>
  <x:si>
    <x:t>2 артефакта; нет сета</x:t>
  </x:si>
  <x:si>
    <x:t>Горячая алая ведьма (2 шт.) + Конец гладиатора (2 шт.)</x:t>
  </x:si>
  <x:si>
    <x:t>Заблудший в метели (2 шт.; ещё 3 арта затычки)</x:t>
  </x:si>
  <x:si>
    <x:t xml:space="preserve">Бедствие Эшу </x:t>
  </x:si>
  <x:si>
    <x:t>ОТСУТСТВУЮТ</x:t>
  </x:si>
  <x:si>
    <x:t>Благодатный владык вод</x:t>
  </x:si>
  <x:si>
    <x:t>Возлюбленная юная дева (4 шт.)</x:t>
  </x:si>
  <x:si>
    <x:t>40+</x:t>
  </x:si>
  <x:si>
    <x:t>- (3 случайных артефакта)</x:t>
  </x:si>
  <x:si>
    <x:t>Клюв ибиса</x:t>
  </x:si>
  <x:si>
    <x:t>Магический супермеч высшего владыки</x:t>
  </x:si>
  <x:si>
    <x:t>Дождерез</x:t>
  </x:si>
  <x:si>
    <x:t>20+</x:t>
  </x:si>
  <x:si>
    <x:t>Проверено</x:t>
  </x:si>
  <x:si>
    <x:t>Регион</x:t>
  </x:si>
  <x:si>
    <x:t>Название</x:t>
  </x:si>
  <x:si>
    <x:t>Цепочка</x:t>
  </x:si>
  <x:si>
    <x:t>Мондштадт</x:t>
  </x:si>
  <x:si>
    <x:t>Прекрасная возможность?</x:t>
  </x:si>
  <x:si>
    <x:t>После бури</x:t>
  </x:si>
  <x:si>
    <x:t>Печать кладбища мечей</x:t>
  </x:si>
  <x:si>
    <x:t>Гильдия занятых искателей приключений</x:t>
  </x:si>
  <x:si>
    <x:t>Генеральная уборка на винокурне</x:t>
  </x:si>
  <x:si>
    <x:t>Коллекционер знаков Анемо</x:t>
  </x:si>
  <x:si>
    <x:t>Равноценный обмен</x:t>
  </x:si>
  <x:si>
    <x:t>Каждый день новые приключения</x:t>
  </x:si>
  <x:si>
    <x:t>Унесенные цветы Флоры</x:t>
  </x:si>
  <x:si>
    <x:t>В последствии</x:t>
  </x:si>
  <x:si>
    <x:t>Страдания после бури</x:t>
  </x:si>
  <x:si>
    <x:t>Анемо Архонт и Мондштадт</x:t>
  </x:si>
  <x:si>
    <x:t>Проблема с ветром</x:t>
  </x:si>
  <x:si>
    <x:t>Новые горизонты приключений</x:t>
  </x:si>
  <x:si>
    <x:t>Нельзя пропустить</x:t>
  </x:si>
  <x:si>
    <x:t>Вопрос и ответ</x:t>
  </x:si>
  <x:si>
    <x:t>Аромат на ветру</x:t>
  </x:si>
  <x:si>
    <x:t>Заточка топора не помешает работе</x:t>
  </x:si>
  <x:si>
    <x:t>Индивидуальное предприятие</x:t>
  </x:si>
  <x:si>
    <x:t>Искусство кулинарии</x:t>
  </x:si>
  <x:si>
    <x:t>Держи вора!</x:t>
  </x:si>
  <x:si>
    <x:t>Время и ветер</x:t>
  </x:si>
  <x:si>
    <x:t>Время никого не ждет</x:t>
  </x:si>
  <x:si>
    <x:t>Добро пожаловать в Гильдию искателей приключений</x:t>
  </x:si>
  <x:si>
    <x:t>Хранитель ветви: Дайнслейф</x:t>
  </x:si>
  <x:si>
    <x:t>Драконий пик</x:t>
  </x:si>
  <x:si>
    <x:t>В горах</x:t>
  </x:si>
  <x:si>
    <x:t>Погребенное королевство</x:t>
  </x:si>
  <x:si>
    <x:t>Заблудший в снегах</x:t>
  </x:si>
  <x:si>
    <x:t>Исследование снежной горы / Повторное исследование…</x:t>
  </x:si>
  <x:si>
    <x:t>Ах, свежее мясо!</x:t>
  </x:si>
  <x:si>
    <x:t>Клык разложения</x:t>
  </x:si>
  <x:si>
    <x:t>Ли Юэ</x:t>
  </x:si>
  <x:si>
    <x:t>Что будут делать искатели приключений?</x:t>
  </x:si>
  <x:si>
    <x:t>Маленькая игра</x:t>
  </x:si>
  <x:si>
    <x:t>Подношение адептам</x:t>
  </x:si>
  <x:si>
    <x:t>Одинокий корабль в Гу Юнь</x:t>
  </x:si>
  <x:si>
    <x:t>И сокровище достается…</x:t>
  </x:si>
  <x:si>
    <x:t>Предварительное соглашение</x:t>
  </x:si>
  <x:si>
    <x:t>Спокойный день в порту Ли Юэ</x:t>
  </x:si>
  <x:si>
    <x:t>Крупная сделка</x:t>
  </x:si>
  <x:si>
    <x:t>Проблемы в Чергогорье</x:t>
  </x:si>
  <x:si>
    <x:t>Книга в лесу</x:t>
  </x:si>
  <x:si>
    <x:t>Пейзаж Лухуа</x:t>
  </x:si>
  <x:si>
    <x:t>Девять мировых колонн</x:t>
  </x:si>
  <x:si>
    <x:t>Незабываемый вкус</x:t>
  </x:si>
  <x:si>
    <x:t>Перетянут</x:t>
  </x:si>
  <x:si>
    <x:t>Срочная работа</x:t>
  </x:si>
  <x:si>
    <x:t>Это мои сокровища!</x:t>
  </x:si>
  <x:si>
    <x:t>Секрет Чи</x:t>
  </x:si>
  <x:si>
    <x:t>Океанская жемчужина</x:t>
  </x:si>
  <x:si>
    <x:t>Одинокое дерево</x:t>
  </x:si>
  <x:si>
    <x:t>Непостоянство сокровищ</x:t>
  </x:si>
  <x:si>
    <x:t>Следы в долине Тяньцю</x:t>
  </x:si>
  <x:si>
    <x:t>Желание Якса</x:t>
  </x:si>
  <x:si>
    <x:t>Воля камня</x:t>
  </x:si>
  <x:si>
    <x:t>Загадка Южных небесных врат</x:t>
  </x:si>
  <x:si>
    <x:t>Необходимые формальности</x:t>
  </x:si>
  <x:si>
    <x:t>Улыбочку</x:t>
  </x:si>
  <x:si>
    <x:t>Нефритовая рыбалка</x:t>
  </x:si>
  <x:si>
    <x:t>Возвращение Нефритового дворца?</x:t>
  </x:si>
  <x:si>
    <x:t>Письмо ценою в десять тысяч золотых</x:t>
  </x:si>
  <x:si>
    <x:t>Сокровища долины Тяньцю</x:t>
  </x:si>
  <x:si>
    <x:t>Блюдо за пределами человеческих возможностей</x:t>
  </x:si>
  <x:si>
    <x:t>Временные меры</x:t>
  </x:si>
  <x:si>
    <x:t>Чайник – полная чаша</x:t>
  </x:si>
  <x:si>
    <x:t>Дела загробные: след Бронзового воробья</x:t>
  </x:si>
  <x:si>
    <x:t>Дела загробные: все хорошо</x:t>
  </x:si>
  <x:si>
    <x:t>Дела загробные: возвращение в горы</x:t>
  </x:si>
  <x:si>
    <x:t>На сцене и за кулисами</x:t>
  </x:si>
  <x:si>
    <x:t>Ход времен под сенью веера</x:t>
  </x:si>
  <x:si>
    <x:t>Ода гарсии</x:t>
  </x:si>
  <x:si>
    <x:t>Разлом</x:t>
  </x:si>
  <x:si>
    <x:t>Записи о путешествии вглубь Разлома</x:t>
  </x:si>
  <x:si>
    <x:t>Проникновение в стан врага</x:t>
  </x:si>
  <x:si>
    <x:t>Украдено владельцем</x:t>
  </x:si>
  <x:si>
    <x:t>Прошлое героя с вершины</x:t>
  </x:si>
  <x:si>
    <x:t>Речи ищущего камни</x:t>
  </x:si>
  <x:si>
    <x:t>Тысячелетние скалы</x:t>
  </x:si>
  <x:si>
    <x:t>Пропавший в глубинах отряд</x:t>
  </x:si>
  <x:si>
    <x:t>Пропавший шахтер</x:t>
  </x:si>
  <x:si>
    <x:t>Погасший гриб просит о помощи</x:t>
  </x:si>
  <x:si>
    <x:t>Пропавшая на чужбине</x:t>
  </x:si>
  <x:si>
    <x:t>Дары Разлома</x:t>
  </x:si>
  <x:si>
    <x:t>Отблески храбрости</x:t>
  </x:si>
  <x:si>
    <x:t>Скрытые квесты Хедива</x:t>
  </x:si>
  <x:si>
    <x:t>Долина Чэньюй</x:t>
  </x:si>
  <x:si>
    <x:t>Священные горы, деревня Цяоин</x:t>
  </x:si>
  <x:si>
    <x:t>Нефритовое благословение</x:t>
  </x:si>
  <x:si>
    <x:t>Нефрит в реке, сокровище Чэньюй</x:t>
  </x:si>
  <x:si>
    <x:t>Древняя жертва Священной кометы</x:t>
  </x:si>
  <x:si>
    <x:t>Застланный облаками путь к Обители Чиван</x:t>
  </x:si>
  <x:si>
    <x:t>Прогулка по Залу Ваншань, которую стоит запомнить</x:t>
  </x:si>
  <x:si>
    <x:t>Древние свитки и искусство меча Гухуа</x:t>
  </x:si>
  <x:si>
    <x:t>Скрытая долина, тайный герой</x:t>
  </x:si>
  <x:si>
    <x:t>Странствующая обитель</x:t>
  </x:si>
  <x:si>
    <x:t>Трехкратные ожидания</x:t>
  </x:si>
  <x:si>
    <x:t>Путешествие по Чэньюй</x:t>
  </x:si>
  <x:si>
    <x:t>Заоблачный и Перчик</x:t>
  </x:si>
  <x:si>
    <x:t>Бабочка, что тихо летит сквозь долину</x:t>
  </x:si>
  <x:si>
    <x:t>Песок договоренностей</x:t>
  </x:si>
  <x:si>
    <x:t>Цяоин, деревня историй</x:t>
  </x:si>
  <x:si>
    <x:t>Привыкание к местности</x:t>
  </x:si>
  <x:si>
    <x:t>Инадзума</x:t>
  </x:si>
  <x:si>
    <x:t>Очищение священной сакуры</x:t>
  </x:si>
  <x:si>
    <x:t>Письмо Тисато</x:t>
  </x:si>
  <x:si>
    <x:t>На чужой стороне</x:t>
  </x:si>
  <x:si>
    <x:t>Пицца из далеких краев</x:t>
  </x:si>
  <x:si>
    <x:t>Всеядные гурманы</x:t>
  </x:si>
  <x:si>
    <x:t>Игра в тэмари</x:t>
  </x:si>
  <x:si>
    <x:t>Международные путевые заметки</x:t>
  </x:si>
  <x:si>
    <x:t>Путь Рито</x:t>
  </x:si>
  <x:si>
    <x:t>Дозор Хироми</x:t>
  </x:si>
  <x:si>
    <x:t>Дом, что лежит за океаном</x:t>
  </x:si>
  <x:si>
    <x:t>Приглашение от издательского дома Яэ</x:t>
  </x:si>
  <x:si>
    <x:t>Искусство садоводства</x:t>
  </x:si>
  <x:si>
    <x:t>Сокровище фермера</x:t>
  </x:si>
  <x:si>
    <x:t>Седьмой самурай</x:t>
  </x:si>
  <x:si>
    <x:t>Борьба за искупление</x:t>
  </x:si>
  <x:si>
    <x:t>О Архонт! Правильно ли я поступил?</x:t>
  </x:si>
  <x:si>
    <x:t>Исключительно исключительный писатель</x:t>
  </x:si>
  <x:si>
    <x:t>Октава маусиро</x:t>
  </x:si>
  <x:si>
    <x:t>Море тумана и обряд деревьев</x:t>
  </x:si>
  <x:si>
    <x:t>Особая гадальная бирка</x:t>
  </x:si>
  <x:si>
    <x:t>Методы сочинения историй</x:t>
  </x:si>
  <x:si>
    <x:t>Шумные чужеземцы!</x:t>
  </x:si>
  <x:si>
    <x:t>Мусенин</x:t>
  </x:si>
  <x:si>
    <x:t>Сказания из татары</x:t>
  </x:si>
  <x:si>
    <x:t>Судьба бойца</x:t>
  </x:si>
  <x:si>
    <x:t>Мечты о фехтовании</x:t>
  </x:si>
  <x:si>
    <x:t>Лечение для сакуры</x:t>
  </x:si>
  <x:si>
    <x:t>Лечение на острове</x:t>
  </x:si>
  <x:si>
    <x:t>Зловещая инструкция</x:t>
  </x:si>
  <x:si>
    <x:t>Наследие Оробаси</x:t>
  </x:si>
  <x:si>
    <x:t>Взгляд на три тысячи миль вдаль</x:t>
  </x:si>
  <x:si>
    <x:t>Удобрений… продавец?</x:t>
  </x:si>
  <x:si>
    <x:t>Чудесное растение глубин</x:t>
  </x:si>
  <x:si>
    <x:t>Лунная бездна</x:t>
  </x:si>
  <x:si>
    <x:t>Стоячая вода</x:t>
  </x:si>
  <x:si>
    <x:t>Одинокий обитатель моря</x:t>
  </x:si>
  <x:si>
    <x:t>Чистый дом</x:t>
  </x:si>
  <x:si>
    <x:t>Охотники за грозами Сэйрая</x:t>
  </x:si>
  <x:si>
    <x:t>Древнее сокровище Сэйрая</x:t>
  </x:si>
  <x:si>
    <x:t>Память Сэйрая</x:t>
  </x:si>
  <x:si>
    <x:t>Кошка Нэко</x:t>
  </x:si>
  <x:si>
    <x:t>Следы Наруками</x:t>
  </x:si>
  <x:si>
    <x:t>Колесо солнца и гора Канна</x:t>
  </x:si>
  <x:si>
    <x:t>Приключения забывчивого короля</x:t>
  </x:si>
  <x:si>
    <x:t>Энканомия</x:t>
  </x:si>
  <x:si>
    <x:t>От заката до рассвета в Бякуякоку</x:t>
  </x:si>
  <x:si>
    <x:t>Собрание драконов и змей</x:t>
  </x:si>
  <x:si>
    <x:t>Тайна Эреба</x:t>
  </x:si>
  <x:si>
    <x:t>Скорбная песнь Гипериона</x:t>
  </x:si>
  <x:si>
    <x:t>Сиртос Фаэтонов</x:t>
  </x:si>
  <x:si>
    <x:t>Поедатель лотоса</x:t>
  </x:si>
  <x:si>
    <x:t>Сумеру</x:t>
  </x:si>
  <x:si>
    <x:t>Встреча в лесу: Араньяка том 1</x:t>
  </x:si>
  <x:si>
    <x:t>Питомник грез: Араньяка том 2</x:t>
  </x:si>
  <x:si>
    <x:t>Кулинарная мечта</x:t>
  </x:si>
  <x:si>
    <x:t>Вимана-агама</x:t>
  </x:si>
  <x:si>
    <x:t>Варуна-гата</x:t>
  </x:si>
  <x:si>
    <x:t>Агнихотра-сутра</x:t>
  </x:si>
  <x:si>
    <x:t>Дети леса</x:t>
  </x:si>
  <x:si>
    <x:t>Ради лучшего воссоединения</x:t>
  </x:si>
  <x:si>
    <x:t>Праздник Утсава</x:t>
  </x:si>
  <x:si>
    <x:t>Питомник утраченных грез: Араньяка том 3 (цепочка)</x:t>
  </x:si>
  <x:si>
    <x:t>В конце концов, лес помнит все: Араньяка том 4 (цепочка)</x:t>
  </x:si>
  <x:si>
    <x:t>У Фатуи ума как у статуи</x:t>
  </x:si>
  <x:si>
    <x:t>Короткая встреча с редкой птицей</x:t>
  </x:si>
  <x:si>
    <x:t>Финал Главы Агнихотра-сутра</x:t>
  </x:si>
  <x:si>
    <x:t>Пока вана не исцелится</x:t>
  </x:si>
  <x:si>
    <x:t>Храбрость исходит из сердца</x:t>
  </x:si>
  <x:si>
    <x:t>Дарите цветы</x:t>
  </x:si>
  <x:si>
    <x:t>Легенды каменного замка</x:t>
  </x:si>
  <x:si>
    <x:t>Вечный изгнанник леса</x:t>
  </x:si>
  <x:si>
    <x:t>Дерево и сны</x:t>
  </x:si>
  <x:si>
    <x:t>Пока длится мечта</x:t>
  </x:si>
  <x:si>
    <x:t>Статичные пейзажи 1 и 2</x:t>
  </x:si>
  <x:si>
    <x:t>Всеядные гурманы: в рамках долга</x:t>
  </x:si>
  <x:si>
    <x:t>Всеядные гурманы: наведение порядка</x:t>
  </x:si>
  <x:si>
    <x:t>Ода Гарсии: подарок совместимости</x:t>
  </x:si>
  <x:si>
    <x:t>Як о четырех ногах, да спотыкается</x:t>
  </x:si>
  <x:si>
    <x:t>Путь к знаниям</x:t>
  </x:si>
  <x:si>
    <x:t>Приключения требуют мужества</x:t>
  </x:si>
  <x:si>
    <x:t>Цена</x:t>
  </x:si>
  <x:si>
    <x:t>Сокровище мудрости: новый план</x:t>
  </x:si>
  <x:si>
    <x:t>Чудодейственный крючок</x:t>
  </x:si>
  <x:si>
    <x:t>Где свирепые животные</x:t>
  </x:si>
  <x:si>
    <x:t>Золотая страна грез (цепочка)</x:t>
  </x:si>
  <x:si>
    <x:t>Древний язык, новые знания (цепочка)</x:t>
  </x:si>
  <x:si>
    <x:t>Изгнание: Всходы</x:t>
  </x:si>
  <x:si>
    <x:t>Изгнанник: Цветение</x:t>
  </x:si>
  <x:si>
    <x:t>Подаренная роза: Острые колючки</x:t>
  </x:si>
  <x:si>
    <x:t>Подаренная роза: Длинные деньки</x:t>
  </x:si>
  <x:si>
    <x:t>Подаренная роза: Могут ли зацвести камни?</x:t>
  </x:si>
  <x:si>
    <x:t>Подаренная роза: Баллада ушедших дней</x:t>
  </x:si>
  <x:si>
    <x:t>Подаренная роза: Забвению не бывать</x:t>
  </x:si>
  <x:si>
    <x:t>Дилемма Афрату</x:t>
  </x:si>
  <x:si>
    <x:t>Цветок пустыни</x:t>
  </x:si>
  <x:si>
    <x:t>Вступайте в ряды Пустынников, и ваша жизнь наладится!</x:t>
  </x:si>
  <x:si>
    <x:t>В следующей части Короля заклинаний</x:t>
  </x:si>
  <x:si>
    <x:t>Панихида Билцис (цепочка)</x:t>
  </x:si>
  <x:si>
    <x:t>Возрадуйся обретению утраченного</x:t>
  </x:si>
  <x:si>
    <x:t>Сокол Тадлэ</x:t>
  </x:si>
  <x:si>
    <x:t>Соколиная охота</x:t>
  </x:si>
  <x:si>
    <x:t>Сложивший крылья сокол</x:t>
  </x:si>
  <x:si>
    <x:t>Утраченный апокалипсис (цепочка)</x:t>
  </x:si>
  <x:si>
    <x:t>Ее враги бушуют, словно волны (цепочка)</x:t>
  </x:si>
  <x:si>
    <x:t>Хварна добра и зла (цепочка)</x:t>
  </x:si>
  <x:si>
    <x:t>Бледное пламя (цепочка)</x:t>
  </x:si>
  <x:si>
    <x:t>Монументальное исследование (цепочка)</x:t>
  </x:si>
  <x:si>
    <x:t>Зов света</x:t>
  </x:si>
  <x:si>
    <x:t>Художник в свободном плавании</x:t>
  </x:si>
  <x:si>
    <x:t>Вдруг где-то есть и другой дом</x:t>
  </x:si>
  <x:si>
    <x:t>Воспоминания одного фонтейнца</x:t>
  </x:si>
  <x:si>
    <x:t>Наставление Пурбируни</x:t>
  </x:si>
  <x:si>
    <x:t>Фонтейн</x:t>
  </x:si>
  <x:si>
    <x:t>Краски иллюзий</x:t>
  </x:si>
  <x:si>
    <x:t>Древние цвета</x:t>
  </x:si>
  <x:si>
    <x:t>Собирается дождь</x:t>
  </x:si>
  <x:si>
    <x:t>Картины. Мечты. Механический пёс</x:t>
  </x:si>
  <x:si>
    <x:t>Великое приключение в Нарциссенкрейце</x:t>
  </x:si>
  <x:si>
    <x:t>Анн в Нарциссенкрейце</x:t>
  </x:si>
  <x:si>
    <x:t>История принцессы и отряда героев</x:t>
  </x:si>
  <x:si>
    <x:t>История Анн</x:t>
  </x:si>
  <x:si>
    <x:t>История Мари-Анн</x:t>
  </x:si>
  <x:si>
    <x:t>Неоконченная история</x:t>
  </x:si>
  <x:si>
    <x:t>Последний вопрос</x:t>
  </x:si>
  <x:si>
    <x:t>Собеседование в «Паровой птице»</x:t>
  </x:si>
  <x:si>
    <x:t>Полуавтоматическая ковка</x:t>
  </x:si>
  <x:si>
    <x:t>На цветочном лугу</x:t>
  </x:si>
  <x:si>
    <x:t>Следы прилива</x:t>
  </x:si>
  <x:si>
    <x:t>Фонтейнское послание</x:t>
  </x:si>
  <x:si>
    <x:t>Тайны «Книги Откровения»</x:t>
  </x:si>
  <x:si>
    <x:t>Хорошие вещи в неумелых руках</x:t>
  </x:si>
  <x:si>
    <x:t>Это вам не тыквенная похлебка…</x:t>
  </x:si>
  <x:si>
    <x:t>Эхо древнего мира</x:t>
  </x:si>
  <x:si>
    <x:t>Призрак одинокого парусника</x:t>
  </x:si>
  <x:si>
    <x:t>Умопомрачительный аромат</x:t>
  </x:si>
  <x:si>
    <x:t>По-прежнему невозможно удержаться!</x:t>
  </x:si>
  <x:si>
    <x:t>Приключения чудесного камня</x:t>
  </x:si>
  <x:si>
    <x:t>Успех не дается легко</x:t>
  </x:si>
  <x:si>
    <x:t>Игра в рыбалку</x:t>
  </x:si>
  <x:si>
    <x:t>Три оттенка короны солнца</x:t>
  </x:si>
  <x:si>
    <x:t>Из троих идущих сначала нужно отыскать учителя</x:t>
  </x:si>
  <x:si>
    <x:t>Восстановление фонтана</x:t>
  </x:si>
  <x:si>
    <x:t>В Кур-де-Фонтейне опасность поджидает на каждом шагу</x:t>
  </x:si>
  <x:si>
    <x:t>Некое уведомление</x:t>
  </x:si>
  <x:si>
    <x:t>Некий пустячок</x:t>
  </x:si>
  <x:si>
    <x:t>Некая печать</x:t>
  </x:si>
  <x:si>
    <x:t>Скрытый квест Деларош</x:t>
  </x:si>
  <x:si>
    <x:t>Игра в монополистов</x:t>
  </x:si>
  <x:si>
    <x:t>Незавершенная комедия</x:t>
  </x:si>
  <x:si>
    <x:t>Зуб за зуб</x:t>
  </x:si>
  <x:si>
    <x:t>С той поры…</x:t>
  </x:si>
  <x:si>
    <x:t>Хроники исследовательского института Фонтейна</x:t>
  </x:si>
  <x:si>
    <x:t>Тупик</x:t>
  </x:si>
  <x:si>
    <x:t>Сцены жизни в крепости Меропид</x:t>
  </x:si>
  <x:si>
    <x:t>Храбрость с кулаками</x:t>
  </x:si>
  <x:si>
    <x:t>Паллиатив</x:t>
  </x:si>
  <x:si>
    <x:t>Техника безопасности</x:t>
  </x:si>
  <x:si>
    <x:t>Плохая сделка</x:t>
  </x:si>
  <x:si>
    <x:t>Разговоры</x:t>
  </x:si>
  <x:si>
    <x:t>Нерешенная задача</x:t>
  </x:si>
  <x:si>
    <x:t>Помни, у кого брал взаймы</x:t>
  </x:si>
  <x:si>
    <x:t>Видимая рука</x:t>
  </x:si>
  <x:si>
    <x:t>Искусство переговоров</x:t>
  </x:si>
  <x:si>
    <x:t>Воспоминания</x:t>
  </x:si>
  <x:si>
    <x:t>Подготовка актера</x:t>
  </x:si>
  <x:si>
    <x:t>В поисках прошлого: Юг</x:t>
  </x:si>
  <x:si>
    <x:t>В поисках прошлого</x:t>
  </x:si>
  <x:si>
    <x:t>В поисках прошлого: Запад</x:t>
  </x:si>
  <x:si>
    <x:t>В поисках прошлого: Север</x:t>
  </x:si>
  <x:si>
    <x:t>Негодяи</x:t>
  </x:si>
  <x:si>
    <x:t>Сила и смекалка</x:t>
  </x:si>
  <x:si>
    <x:t>Коварный свет из глубин</x:t>
  </x:si>
  <x:si>
    <x:t>Наша цель в другом трубопроводе</x:t>
  </x:si>
  <x:si>
    <x:t>Путь к сингулярности</x:t>
  </x:si>
  <x:si>
    <x:t>Первичные факты</x:t>
  </x:si>
  <x:si>
    <x:t>Оглашение разгадки ожидается</x:t>
  </x:si>
  <x:si>
    <x:t>Письмо</x:t>
  </x:si>
  <x:si>
    <x:t>Путь в Туманном лесу</x:t>
  </x:si>
  <x:si>
    <x:t>Дикая фея Эриний</x:t>
  </x:si>
  <x:si>
    <x:t>Увядающая плакучая ива</x:t>
  </x:si>
  <x:si>
    <x:t>Яростное озеро у родника</x:t>
  </x:si>
  <x:si>
    <x:t>В сердце Эриний</x:t>
  </x:si>
  <x:si>
    <x:t>Поиск в море водорослей</x:t>
  </x:si>
  <x:si>
    <x:t>По следам Нарцисса</x:t>
  </x:si>
  <x:si>
    <x:t>Покой спасителя</x:t>
  </x:si>
  <x:si>
    <x:t>Пробуждение от великого сна</x:t>
  </x:si>
  <x:si>
    <x:t>След за кормой</x:t>
  </x:si>
  <x:si>
    <x:t>Бродяги и озорники</x:t>
  </x:si>
  <x:si>
    <x:t>Опрос мелюзины и ответ машины</x:t>
  </x:si>
  <x:si>
    <x:t>Красное и черное</x:t>
  </x:si>
  <x:si>
    <x:t>Вопросы и ответы</x:t>
  </x:si>
  <x:si>
    <x:t>Предполагаемый план</x:t>
  </x:si>
  <x:si>
    <x:t>Ожидаемая ложь</x:t>
  </x:si>
  <x:si>
    <x:t>Сквозь тайное зеркало</x:t>
  </x:si>
  <x:si>
    <x:t>Погоня</x:t>
  </x:si>
  <x:si>
    <x:t>С днем рождения</x:t>
  </x:si>
  <x:si>
    <x:t>Свободное стихосложение</x:t>
  </x:si>
  <x:si>
    <x:t>Импровизированная поэма о рассвете</x:t>
  </x:si>
  <x:si>
    <x:t>Охота за сокровищами, исполняющими желания</x:t>
  </x:si>
  <x:si>
    <x:t>Леруа: Предсмертное просветление</x:t>
  </x:si>
  <x:si>
    <x:t>Леруа</x:t>
  </x:si>
  <x:si>
    <x:t>Леруа: Расстрельный отряд</x:t>
  </x:si>
  <x:si>
    <x:t>Леруа: Под опекой</x:t>
  </x:si>
  <x:si>
    <x:t>Леруа: Час расплаты</x:t>
  </x:si>
  <x:si>
    <x:t>Леруа: Петля на шее</x:t>
  </x:si>
  <x:si>
    <x:t>Леруа: Ария Царицы ночи</x:t>
  </x:si>
  <x:si>
    <x:t>Леруа: Прекрасные друзья</x:t>
  </x:si>
  <x:si>
    <x:t>Запоздалое возвращение</x:t>
  </x:si>
  <x:si>
    <x:t>Вся его жизнь</x:t>
  </x:si>
  <x:si>
    <x:t>Мечты, что сильнее пространства и времени</x:t>
  </x:si>
  <x:si>
    <x:t>Натлан</x:t>
  </x:si>
  <x:si>
    <x:t>Заблудшие дети леса</x:t>
  </x:si>
  <x:si>
    <x:t>Между обещанием и забвением</x:t>
  </x:si>
  <x:si>
    <x:t>Ритуал храбреца</x:t>
  </x:si>
  <x:si>
    <x:t>Откровения прошлого</x:t>
  </x:si>
  <x:si>
    <x:t>Под кристаллом</x:t>
  </x:si>
  <x:si>
    <x:t>Тени гор</x:t>
  </x:si>
  <x:si>
    <x:t>Да упокоятся спящие</x:t>
  </x:si>
  <x:si>
    <x:t>Прошлое нельзя отследить</x:t>
  </x:si>
  <x:si>
    <x:t>Повесть о мечтах, вырванных из огня</x:t>
  </x:si>
  <x:si>
    <x:t>Искатель не находит</x:t>
  </x:si>
  <x:si>
    <x:t>Возвращение ночи в ночь</x:t>
  </x:si>
  <x:si>
    <x:t>Готовность к неприятностям</x:t>
  </x:si>
  <x:si>
    <x:t>Пусть звезда исполнит желание</x:t>
  </x:si>
  <x:si>
    <x:t>Дело об алхимическом верстаке</x:t>
  </x:si>
  <x:si>
    <x:t>По радуге, по волнам</x:t>
  </x:si>
  <x:si>
    <x:t>Сокровища и коллекционеры</x:t>
  </x:si>
  <x:si>
    <x:t>По следам избранника драконов</x:t>
  </x:si>
  <x:si>
    <x:t>Прятки с тепетлизавром</x:t>
  </x:si>
  <x:si>
    <x:t>Обмен подарками</x:t>
  </x:si>
  <x:si>
    <x:t>Особые друзья</x:t>
  </x:si>
  <x:si>
    <x:t>Сегодня будет рыбный день!</x:t>
  </x:si>
  <x:si>
    <x:t>Обман и обещания</x:t>
  </x:si>
  <x:si>
    <x:t>Свет, камера, мотор!</x:t>
  </x:si>
  <x:si>
    <x:t>Обычная жизнь любителя заврианов</x:t>
  </x:si>
  <x:si>
    <x:t>Тяжелые крылья</x:t>
  </x:si>
  <x:si>
    <x:t>Пока семена дадут всходы</x:t>
  </x:si>
  <x:si>
    <x:t>Засыпанный пеплом город</x:t>
  </x:si>
  <x:si>
    <x:t>Заблудший путник в обители пепла</x:t>
  </x:si>
  <x:si>
    <x:t>Сон о далеком небе</x:t>
  </x:si>
  <x:si>
    <x:t>Дрожь «Тонатиу»</x:t>
  </x:si>
  <x:si>
    <x:t>Обещание Избранника</x:t>
  </x:si>
  <x:si>
    <x:t>Происшествия всегда внезапны</x:t>
  </x:si>
  <x:si>
    <x:t>От одного дела к другому</x:t>
  </x:si>
  <x:si>
    <x:t>Успеть за 24 часа</x:t>
  </x:si>
  <x:si>
    <x:t>Летные гонки и алиби</x:t>
  </x:si>
  <x:si>
    <x:t>Прощай, последнее заврианское печенье</x:t>
  </x:si>
  <x:si>
    <x:t>Откройте мне свое сердце</x:t>
  </x:si>
  <x:si>
    <x:t>Вперед! Только вперед!</x:t>
  </x:si>
  <x:si>
    <x:t>Период линьки</x:t>
  </x:si>
  <x:si>
    <x:t>Завриан возвращается в гнездо</x:t>
  </x:si>
  <x:si>
    <x:t>Все грани воина</x:t>
  </x:si>
  <x:si>
    <x:t>Искаженное расширение</x:t>
  </x:si>
  <x:si>
    <x:t>Танец в лунном свете</x:t>
  </x:si>
  <x:si>
    <x:t>Магнифико</x:t>
  </x:si>
  <x:si>
    <x:t>Лети со мной</x:t>
  </x:si>
  <x:si>
    <x:t>Будь со мной</x:t>
  </x:si>
  <x:si>
    <x:t>Тайна пляжа Теколоапан</x:t>
  </x:si>
  <x:si>
    <x:t>Дилемма завроветеринара</x:t>
  </x:si>
  <x:si>
    <x:t>Одинокий остров под названием «Ночь»</x:t>
  </x:si>
  <x:si>
    <x:t>Камни, кокосы, торговцы заврианами</x:t>
  </x:si>
  <x:si>
    <x:t>Друг огня и воды</x:t>
  </x:si>
  <x:si>
    <x:t>А так ли нужен «накал»?</x:t>
  </x:si>
  <x:si>
    <x:t>Однажды наши пути расходятся</x:t>
  </x:si>
  <x:si>
    <x:t>Путь внутрь горы</x:t>
  </x:si>
  <x:si>
    <x:t>Дорога к пламенным вершинам</x:t>
  </x:si>
  <x:si>
    <x:t>Прыжок Науацина</x:t>
  </x:si>
  <x:si>
    <x:t>Записи о заброшенном городе</x:t>
  </x:si>
  <x:si>
    <x:t>Замерзшая, зажженная вновь земля</x:t>
  </x:si>
  <x:si>
    <x:t>В поисках сокрытого сердца</x:t>
  </x:si>
  <x:si>
    <x:t>Священный трон суждений былых времен</x:t>
  </x:si>
  <x:si>
    <x:t>… и прочие (заебали, суки)</x:t>
  </x:si>
  <x:si>
    <x:t>Исследователь древних руин</x:t>
  </x:si>
  <x:si>
    <x:t>Краткая история камней</x:t>
  </x:si>
  <x:si>
    <x:t>Атака фиолетовых… тепетлизавров?</x:t>
  </x:si>
  <x:si>
    <x:t>Его величество жир!</x:t>
  </x:si>
  <x:si>
    <x:t>Последний выживший из Теночцитока</x:t>
  </x:si>
  <x:si>
    <x:t>Следы цвета</x:t>
  </x:si>
  <x:si>
    <x:t>Пайтити мечты</x:t>
  </x:si>
  <x:si>
    <x:t>Сияй же, айдол Пипильпан!</x:t>
  </x:si>
  <x:si>
    <x:t>Встречи в отпуске</x:t>
  </x:si>
  <x:si>
    <x:t>Встреча с друзьями после долгих поисков</x:t>
  </x:si>
  <x:si>
    <x:t>Странная встреча на острове Тете</x:t>
  </x:si>
  <x:si>
    <x:t>Нод-Край</x:t>
  </x:si>
  <x:si>
    <x:t>К зелёному острову…</x:t>
  </x:si>
  <x:si>
    <x:t>Полька под луной</x:t>
  </x:si>
  <x:si>
    <x:t>Камень у врат</x:t>
  </x:si>
  <x:si>
    <x:t>Добыча миража</x:t>
  </x:si>
  <x:si>
    <x:t>Отголоски незавершённого прошлого</x:t>
  </x:si>
  <x:si>
    <x:t>Зеркала, лабиринт и царь</x:t>
  </x:si>
  <x:si>
    <x:t>Блюз старого мира</x:t>
  </x:si>
  <x:si>
    <x:t xml:space="preserve">Оттенки космоса </x:t>
  </x:si>
  <x:si>
    <x:t>Алое очищение</x:t>
  </x:si>
  <x:si>
    <x:t>Оттенки космоса</x:t>
  </x:si>
  <x:si>
    <x:t>Сапожник без сапог</x:t>
  </x:si>
  <x:si>
    <x:t>К востоку от луны, на запад от солнца</x:t>
  </x:si>
  <x:si>
    <x:t>Предательское сердце</x:t>
  </x:si>
  <x:si>
    <x:t>Шёпот, что таится под волнами</x:t>
  </x:si>
  <x:si>
    <x:t>Сортировщик проблем</x:t>
  </x:si>
  <x:si>
    <x:t>Друзья из долины Кроти</x:t>
  </x:si>
  <x:si>
    <x:t>Правила или интуиция?</x:t>
  </x:si>
  <x:si>
    <x:t>Движущая сила науки</x:t>
  </x:si>
  <x:si>
    <x:t>К маяку</x:t>
  </x:si>
  <x:si>
    <x:t>Приоритеты прежде всего</x:t>
  </x:si>
  <x:si>
    <x:t>Ввысь к небесам обетованным</x:t>
  </x:si>
  <x:si>
    <x:t>Молитвы Морозной Луне</x:t>
  </x:si>
  <x:si>
    <x:t>Жалобы повара</x:t>
  </x:si>
  <x:si>
    <x:t>Плач потерявшегося ребёнка</x:t>
  </x:si>
  <x:si>
    <x:t>Жалобы спецотряда поддержки</x:t>
  </x:si>
  <x:si>
    <x:t>Отзвуки скорбного колокола</x:t>
  </x:si>
  <x:si>
    <x:t>Смена профессии всегда вызывает беспокойство</x:t>
  </x:si>
  <x:si>
    <x:t>Путешествие к лунному свету</x:t>
  </x:si>
  <x:si>
    <x:t>Раздача еды</x:t>
  </x:si>
  <x:si>
    <x:t>Лунная соната</x:t>
  </x:si>
  <x:si>
    <x:t>Лунные хроники Коломбины</x:t>
  </x:si>
  <x:si>
    <x:t>Слабое сияние возвращения домой</x:t>
  </x:si>
  <x:si>
    <x:t>Пусть лунный свет соединит нас</x:t>
  </x:si>
  <x:si>
    <x:t>Её прошлое</x:t>
  </x:si>
  <x:si>
    <x:t>Художник — друг Луны. Часть 1</x:t>
  </x:si>
  <x:si>
    <x:t>Художник – друг Луны. Часть 2</x:t>
  </x:si>
  <x:si>
    <x:t>Лунная соната: затянувшийся резонанс</x:t>
  </x:si>
  <x:si>
    <x:t>Изменчивый лунный свет</x:t>
  </x:si>
  <x:si>
    <x:t>Тост в лунном свете</x:t>
  </x:si>
  <x:si>
    <x:t>Луна на ночном небосводе</x:t>
  </x:si>
  <x:si>
    <x:t>Художник – друг Луны. Часть 3</x:t>
  </x:si>
  <x:si>
    <x:t>Обломки пиратского корабля с призраками</x:t>
  </x:si>
  <x:si>
    <x:t>Обмен информацией Нефер</x:t>
  </x:si>
  <x:si>
    <x:t>Странный отшельник</x:t>
  </x:si>
  <x:si>
    <x:t>Человек, который однажды солгал</x:t>
  </x:si>
  <x:si>
    <x:t>Беспорядки, вызванные кражей</x:t>
  </x:si>
  <x:si>
    <x:t>Пропавшая цель заказа</x:t>
  </x:si>
  <x:si>
    <x:t>Мелкая торговля</x:t>
  </x:si>
  <x:si>
    <x:t>Исследование утечек</x:t>
  </x:si>
  <x:si>
    <x:t>Когда пыль осела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</x:si>
</x:sst>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%"/>
    <x:numFmt numFmtId="165" formatCode="0.0"/>
  </x:numFmts>
  <x:fonts count="18" x14ac:knownFonts="1">
    <x:font>
      <x:sz val="11"/>
      <x:color theme="1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1"/>
      <x:name val="Calibri"/>
      <x:family val="2"/>
      <x:charset val="204"/>
      <x:scheme val="minor"/>
    </x:font>
    <x:font>
      <x:b/>
      <x:sz val="11"/>
      <x:color theme="1"/>
      <x:name val="Calibri"/>
      <x:family val="2"/>
      <x:charset val="204"/>
      <x:scheme val="minor"/>
    </x:font>
    <x:font>
      <x:b/>
      <x:sz val="12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sz val="16"/>
      <x:color theme="1"/>
      <x:name val="Calibri"/>
      <x:family val="2"/>
      <x:charset val="204"/>
      <x:scheme val="minor"/>
    </x:font>
    <x:font>
      <x:sz val="14"/>
      <x:color theme="1"/>
      <x:name val="Calibri"/>
      <x:family val="2"/>
      <x:charset val="204"/>
      <x:scheme val="minor"/>
    </x:font>
    <x:font>
      <x:b/>
      <x:sz val="18"/>
      <x:color theme="1"/>
      <x:name val="Calibri"/>
      <x:family val="2"/>
      <x:charset val="204"/>
      <x:scheme val="minor"/>
    </x:font>
    <x:font>
      <x:b/>
      <x:sz val="11"/>
      <x:name val="Calibri"/>
      <x:family val="2"/>
      <x:charset val="204"/>
      <x:scheme val="minor"/>
    </x:font>
    <x:font>
      <x:sz val="18"/>
      <x:color theme="1"/>
      <x:name val="Calibri"/>
      <x:family val="2"/>
      <x:charset val="204"/>
      <x:scheme val="minor"/>
    </x:font>
    <x:font>
      <x:b/>
      <x:sz val="22"/>
      <x:color theme="1"/>
      <x:name val="Calibri"/>
      <x:family val="2"/>
      <x:charset val="204"/>
      <x:scheme val="minor"/>
    </x:font>
    <x:font>
      <x:b/>
      <x:sz val="16"/>
      <x:color theme="1"/>
      <x:name val="Calibri"/>
      <x:family val="2"/>
      <x:charset val="204"/>
      <x:scheme val="minor"/>
    </x:font>
    <x:font>
      <x:b/>
      <x:sz val="20"/>
      <x:color theme="1"/>
      <x:name val="Calibri"/>
      <x:family val="2"/>
      <x:charset val="204"/>
      <x:scheme val="minor"/>
    </x:font>
    <x:font>
      <x:sz val="11"/>
      <x:color theme="0"/>
      <x:name val="Calibri"/>
      <x:family val="2"/>
      <x:charset val="204"/>
      <x:scheme val="minor"/>
    </x:font>
    <x:font>
      <x:sz val="11"/>
      <x:color rgb="FFFF0000"/>
      <x:name val="Calibri"/>
      <x:family val="2"/>
      <x:charset val="204"/>
      <x:scheme val="minor"/>
    </x:font>
    <x:font>
      <x:b/>
      <x:sz val="26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9">
    <x:fill>
      <x:patternFill patternType="none"/>
    </x:fill>
    <x:fill>
      <x:patternFill patternType="gray125"/>
    </x:fill>
    <x:fill>
      <x:patternFill patternType="solid">
        <x:fgColor rgb="FFA162D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3499862666707357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C00000"/>
        <x:bgColor indexed="64"/>
      </x:patternFill>
    </x:fill>
    <x:fill>
      <x:patternFill patternType="solid">
        <x:fgColor rgb="FFFFCCCC"/>
        <x:bgColor indexed="64"/>
      </x:patternFill>
    </x:fill>
    <x:fill>
      <x:patternFill patternType="solid">
        <x:fgColor rgb="FF640013"/>
        <x:bgColor indexed="64"/>
      </x:patternFill>
    </x:fill>
    <x:fill>
      <x:patternFill patternType="solid">
        <x:fgColor rgb="FFFF5050"/>
        <x:bgColor indexed="64"/>
      </x:patternFill>
    </x:fill>
    <x:fill>
      <x:patternFill patternType="solid">
        <x:fgColor theme="9" tint="-0.249977111117893"/>
        <x:bgColor indexed="64"/>
      </x:patternFill>
    </x:fill>
    <x:fill>
      <x:patternFill patternType="solid">
        <x:fgColor rgb="FFFF7C8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3209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898FFF"/>
        <x:bgColor indexed="64"/>
      </x:patternFill>
    </x:fill>
    <x:fill>
      <x:patternFill patternType="solid">
        <x:fgColor rgb="FFFFD243"/>
        <x:bgColor indexed="64"/>
      </x:patternFill>
    </x:fill>
    <x:fill>
      <x:patternFill patternType="solid">
        <x:fgColor rgb="FF4BEAFF"/>
        <x:bgColor indexed="64"/>
      </x:patternFill>
    </x:fill>
    <x:fill>
      <x:patternFill patternType="solid">
        <x:fgColor rgb="FF99FF99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8" tint="-0.249977111117893"/>
        <x:bgColor indexed="64"/>
      </x:patternFill>
    </x:fill>
    <x:fill>
      <x:patternFill patternType="solid">
        <x:fgColor rgb="FFBC8FDD"/>
        <x:bgColor indexed="64"/>
      </x:patternFill>
    </x:fill>
    <x:fill>
      <x:patternFill patternType="solid">
        <x:fgColor rgb="FFCDFFF7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rgb="FFD9D9D9"/>
        <x:bgColor rgb="FF000000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0" tint="-0.499984740745262"/>
        <x:bgColor indexed="64"/>
      </x:patternFill>
    </x:fill>
  </x:fills>
  <x:borders count="31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/>
      <x:top/>
      <x:bottom/>
      <x:diagonal/>
    </x:border>
    <x:border>
      <x:left/>
      <x:right style="medium">
        <x:color auto="1"/>
      </x:right>
      <x:top/>
      <x:bottom/>
      <x:diagonal/>
    </x:border>
    <x:border>
      <x:left/>
      <x:right/>
      <x:top/>
      <x:bottom style="medium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 style="thick">
        <x:color auto="1"/>
      </x:left>
      <x:right style="thick">
        <x:color auto="1"/>
      </x:right>
      <x:top/>
      <x:bottom style="thick">
        <x:color auto="1"/>
      </x:bottom>
      <x:diagonal/>
    </x:border>
    <x:border>
      <x:left style="thick">
        <x:color auto="1"/>
      </x:left>
      <x:right style="thick">
        <x:color auto="1"/>
      </x:right>
      <x:top/>
      <x:bottom/>
      <x:diagonal/>
    </x:border>
    <x:border>
      <x:left style="thick">
        <x:color auto="1"/>
      </x:left>
      <x:right style="thick">
        <x:color auto="1"/>
      </x:right>
      <x:top style="thick">
        <x:color auto="1"/>
      </x:top>
      <x:bottom/>
      <x:diagonal/>
    </x:border>
    <x:border>
      <x:left style="thick">
        <x:color auto="1"/>
      </x:left>
      <x:right style="thick">
        <x:color auto="1"/>
      </x:right>
      <x:top style="thin">
        <x:color auto="1"/>
      </x:top>
      <x:bottom style="thick">
        <x:color auto="1"/>
      </x:bottom>
      <x:diagonal/>
    </x:border>
    <x:border>
      <x:left style="thick">
        <x:color auto="1"/>
      </x:left>
      <x:right style="thick">
        <x:color auto="1"/>
      </x:right>
      <x:top style="thin">
        <x:color auto="1"/>
      </x:top>
      <x:bottom style="thin">
        <x:color auto="1"/>
      </x:bottom>
      <x:diagonal/>
    </x:border>
    <x:border>
      <x:left style="thick">
        <x:color auto="1"/>
      </x:left>
      <x:right style="thick">
        <x:color auto="1"/>
      </x:right>
      <x:top style="thick">
        <x:color auto="1"/>
      </x:top>
      <x:bottom style="thin">
        <x:color auto="1"/>
      </x:bottom>
      <x:diagonal/>
    </x:border>
    <x:border>
      <x:left style="thick">
        <x:color auto="1"/>
      </x:left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 style="thick">
        <x:color auto="1"/>
      </x:left>
      <x:right/>
      <x:top style="thin">
        <x:color auto="1"/>
      </x:top>
      <x:bottom/>
      <x:diagonal/>
    </x:border>
    <x:border>
      <x:left style="thick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n">
        <x:color auto="1"/>
      </x:bottom>
      <x:diagonal/>
    </x:border>
    <x:border>
      <x:left/>
      <x:right style="thick">
        <x:color auto="1"/>
      </x:right>
      <x:top style="thin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 style="medium">
        <x:color auto="1"/>
      </x:right>
      <x:top style="medium">
        <x:color auto="1"/>
      </x:top>
      <x:bottom/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/>
      <x:bottom/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/>
      <x:top style="thick">
        <x:color auto="1"/>
      </x:top>
      <x:bottom/>
      <x:diagonal/>
    </x:border>
  </x:borders>
  <x:cellStyleXfs count="168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13" borderId="5" applyNumberFormat="1" applyFill="0" applyBorder="1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49" fontId="1" fillId="0" borderId="6" applyNumberFormat="1" applyFill="1" applyBorder="1" applyAlignment="1" applyProtection="1">
      <x:protection locked="1" hidden="0"/>
    </x:xf>
    <x:xf numFmtId="0" fontId="14" fillId="8" borderId="1" applyNumberFormat="1" applyFill="0" applyBorder="1" applyAlignment="1" applyProtection="1">
      <x:protection locked="1" hidden="0"/>
    </x:xf>
    <x:xf numFmtId="0" fontId="0" fillId="10" borderId="2" applyNumberFormat="1" applyFill="0" applyBorder="1" applyAlignment="1" applyProtection="1">
      <x:protection locked="1" hidden="0"/>
    </x:xf>
    <x:xf numFmtId="0" fontId="0" fillId="10" borderId="3" applyNumberFormat="1" applyFill="0" applyBorder="1" applyAlignment="1" applyProtection="1">
      <x:protection locked="1" hidden="0"/>
    </x:xf>
    <x:xf numFmtId="0" fontId="0" fillId="10" borderId="4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9" borderId="1" applyNumberFormat="1" applyFill="0" applyBorder="1" applyAlignment="1" applyProtection="1">
      <x:protection locked="1" hidden="0"/>
    </x:xf>
    <x:xf numFmtId="0" fontId="0" fillId="11" borderId="1" applyNumberFormat="1" applyFill="0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10" fontId="1" fillId="0" borderId="5" applyNumberFormat="1" applyFill="1" applyBorder="1" applyAlignment="1" applyProtection="1">
      <x:protection locked="1" hidden="0"/>
    </x:xf>
    <x:xf numFmtId="10" fontId="1" fillId="0" borderId="0" applyNumberFormat="1" applyFill="1" applyBorder="0" applyAlignment="1" applyProtection="1">
      <x:protection locked="1" hidden="0"/>
    </x:xf>
    <x:xf numFmtId="0" fontId="0" fillId="1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14" borderId="1" applyNumberFormat="1" applyFill="0" applyBorder="1" applyAlignment="1" applyProtection="1">
      <x:protection locked="1" hidden="0"/>
    </x:xf>
    <x:xf numFmtId="0" fontId="0" fillId="15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9" fontId="0" fillId="0" borderId="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  <x:xf numFmtId="0" fontId="0" fillId="16" borderId="1" applyNumberFormat="1" applyFill="0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0" fillId="15" borderId="2" applyNumberFormat="1" applyFill="0" applyBorder="1" applyAlignment="1" applyProtection="1">
      <x:protection locked="1" hidden="0"/>
    </x:xf>
    <x:xf numFmtId="0" fontId="4" fillId="0" borderId="27" applyNumberFormat="1" applyFill="1" applyBorder="1" applyAlignment="1" applyProtection="1">
      <x:protection locked="1" hidden="0"/>
    </x:xf>
    <x:xf numFmtId="0" fontId="0" fillId="16" borderId="2" applyNumberFormat="1" applyFill="0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0" fillId="13" borderId="1" applyNumberFormat="1" applyFill="0" applyBorder="1" applyAlignment="1" applyProtection="1">
      <x:protection locked="1" hidden="0"/>
    </x:xf>
    <x:xf numFmtId="0" fontId="4" fillId="0" borderId="29" applyNumberFormat="1" applyFill="1" applyBorder="1" applyAlignment="1" applyProtection="1">
      <x:protection locked="1" hidden="0"/>
    </x:xf>
    <x:xf numFmtId="0" fontId="0" fillId="13" borderId="27" applyNumberFormat="1" applyFill="0" applyBorder="1" applyAlignment="1" applyProtection="1">
      <x:protection locked="1" hidden="0"/>
    </x:xf>
    <x:xf numFmtId="0" fontId="0" fillId="16" borderId="10" applyNumberFormat="1" applyFill="0" applyBorder="1" applyAlignment="1" applyProtection="1">
      <x:protection locked="1" hidden="0"/>
    </x:xf>
    <x:xf numFmtId="0" fontId="0" fillId="14" borderId="29" applyNumberFormat="1" applyFill="0" applyBorder="1" applyAlignment="1" applyProtection="1">
      <x:protection locked="1" hidden="0"/>
    </x:xf>
    <x:xf numFmtId="0" fontId="0" fillId="15" borderId="9" applyNumberFormat="1" applyFill="0" applyBorder="1" applyAlignment="1" applyProtection="1">
      <x:protection locked="1" hidden="0"/>
    </x:xf>
    <x:xf numFmtId="0" fontId="16" fillId="0" borderId="10" applyNumberFormat="1" applyFill="1" applyBorder="1" applyAlignment="1" applyProtection="1">
      <x:protection locked="1" hidden="0"/>
    </x:xf>
    <x:xf numFmtId="0" fontId="16" fillId="0" borderId="8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25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26" applyNumberFormat="1" applyFill="1" applyBorder="1" applyAlignment="1" applyProtection="1">
      <x:protection locked="1" hidden="0"/>
    </x:xf>
    <x:xf numFmtId="0" fontId="0" fillId="19" borderId="1" applyNumberFormat="1" applyFill="0" applyBorder="1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0" fontId="0" fillId="22" borderId="1" applyNumberFormat="1" applyFill="0" applyBorder="1" applyAlignment="1" applyProtection="1">
      <x:protection locked="1" hidden="0"/>
    </x:xf>
    <x:xf numFmtId="0" fontId="0" fillId="21" borderId="1" applyNumberFormat="1" applyFill="0" applyBorder="1" applyAlignment="1" applyProtection="1">
      <x:protection locked="1" hidden="0"/>
    </x:xf>
    <x:xf numFmtId="0" fontId="0" fillId="20" borderId="1" applyNumberFormat="1" applyFill="0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17" borderId="3" applyNumberFormat="1" applyFill="0" applyBorder="1" applyAlignment="1" applyProtection="1">
      <x:protection locked="1" hidden="0"/>
    </x:xf>
    <x:xf numFmtId="9" fontId="0" fillId="0" borderId="3" applyNumberFormat="1" applyFill="1" applyBorder="1" applyAlignment="1" applyProtection="1">
      <x:protection locked="1" hidden="0"/>
    </x:xf>
    <x:xf numFmtId="9" fontId="0" fillId="13" borderId="4" applyNumberFormat="1" applyFill="0" applyBorder="1" applyAlignment="1" applyProtection="1">
      <x:protection locked="1" hidden="0"/>
    </x:xf>
    <x:xf numFmtId="0" fontId="0" fillId="36" borderId="2" applyNumberFormat="1" applyFill="0" applyBorder="1" applyAlignment="1" applyProtection="1">
      <x:protection locked="1" hidden="0"/>
    </x:xf>
    <x:xf numFmtId="0" fontId="0" fillId="36" borderId="3" applyNumberFormat="1" applyFill="0" applyBorder="1" applyAlignment="1" applyProtection="1">
      <x:protection locked="1" hidden="0"/>
    </x:xf>
    <x:xf numFmtId="164" fontId="0" fillId="36" borderId="3" applyNumberFormat="1" applyFill="0" applyBorder="1" applyAlignment="1" applyProtection="1">
      <x:protection locked="1" hidden="0"/>
    </x:xf>
    <x:xf numFmtId="0" fontId="0" fillId="36" borderId="4" applyNumberFormat="1" applyFill="0" applyBorder="1" applyAlignment="1" applyProtection="1">
      <x:protection locked="1" hidden="0"/>
    </x:xf>
    <x:xf numFmtId="0" fontId="7" fillId="0" borderId="28" applyNumberFormat="1" applyFill="1" applyBorder="1" applyAlignment="1" applyProtection="1">
      <x:protection locked="1" hidden="0"/>
    </x:xf>
    <x:xf numFmtId="0" fontId="0" fillId="13" borderId="2" applyNumberFormat="1" applyFill="0" applyBorder="1" applyAlignment="1" applyProtection="1">
      <x:protection locked="1" hidden="0"/>
    </x:xf>
    <x:xf numFmtId="0" fontId="0" fillId="13" borderId="3" applyNumberFormat="1" applyFill="0" applyBorder="1" applyAlignment="1" applyProtection="1">
      <x:protection locked="1" hidden="0"/>
    </x:xf>
    <x:xf numFmtId="164" fontId="0" fillId="13" borderId="3" applyNumberFormat="1" applyFill="0" applyBorder="1" applyAlignment="1" applyProtection="1">
      <x:protection locked="1" hidden="0"/>
    </x:xf>
    <x:xf numFmtId="0" fontId="0" fillId="13" borderId="4" applyNumberFormat="1" applyFill="0" applyBorder="1" applyAlignment="1" applyProtection="1">
      <x:protection locked="1" hidden="0"/>
    </x:xf>
    <x:xf numFmtId="0" fontId="0" fillId="24" borderId="2" applyNumberFormat="1" applyFill="0" applyBorder="1" applyAlignment="1" applyProtection="1">
      <x:protection locked="1" hidden="0"/>
    </x:xf>
    <x:xf numFmtId="0" fontId="0" fillId="24" borderId="3" applyNumberFormat="1" applyFill="0" applyBorder="1" applyAlignment="1" applyProtection="1">
      <x:protection locked="1" hidden="0"/>
    </x:xf>
    <x:xf numFmtId="164" fontId="0" fillId="24" borderId="3" applyNumberFormat="1" applyFill="0" applyBorder="1" applyAlignment="1" applyProtection="1">
      <x:protection locked="1" hidden="0"/>
    </x:xf>
    <x:xf numFmtId="0" fontId="0" fillId="24" borderId="4" applyNumberFormat="1" applyFill="0" applyBorder="1" applyAlignment="1" applyProtection="1">
      <x:protection locked="1" hidden="0"/>
    </x:xf>
    <x:xf numFmtId="0" fontId="0" fillId="13" borderId="6" applyNumberFormat="1" applyFill="0" applyBorder="1" applyAlignment="1" applyProtection="1">
      <x:protection locked="1" hidden="0"/>
    </x:xf>
    <x:xf numFmtId="0" fontId="15" fillId="0" borderId="3" applyNumberFormat="1" applyFill="1" applyBorder="1" applyAlignment="1" applyProtection="1">
      <x:protection locked="1" hidden="0"/>
    </x:xf>
    <x:xf numFmtId="0" fontId="0" fillId="18" borderId="3" applyNumberFormat="1" applyFill="0" applyBorder="1" applyAlignment="1" applyProtection="1">
      <x:protection locked="1" hidden="0"/>
    </x:xf>
    <x:xf numFmtId="0" fontId="7" fillId="0" borderId="29" applyNumberFormat="1" applyFill="1" applyBorder="1" applyAlignment="1" applyProtection="1">
      <x:protection locked="1" hidden="0"/>
    </x:xf>
    <x:xf numFmtId="0" fontId="7" fillId="0" borderId="27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65" fontId="0" fillId="37" borderId="3" applyNumberFormat="1" applyFill="0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0" fillId="37" borderId="3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9" fontId="0" fillId="13" borderId="3" applyNumberFormat="1" applyFill="0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2" fillId="35" borderId="3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4" fontId="0" fillId="13" borderId="0" applyNumberFormat="1" applyFill="0" applyBorder="0" applyAlignment="1" applyProtection="1">
      <x:protection locked="1" hidden="0"/>
    </x:xf>
    <x:xf numFmtId="0" fontId="0" fillId="24" borderId="3" quotePrefix="1" applyNumberFormat="1" applyFill="0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33" borderId="17" applyNumberFormat="1" applyFill="0" applyBorder="1" applyAlignment="1" applyProtection="1">
      <x:protection locked="1" hidden="0"/>
    </x:xf>
    <x:xf numFmtId="0" fontId="0" fillId="24" borderId="23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24" borderId="22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24" borderId="21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3" fillId="32" borderId="17" applyNumberFormat="1" applyFill="0" applyBorder="1" applyAlignment="1" applyProtection="1">
      <x:protection locked="1" hidden="0"/>
    </x:xf>
    <x:xf numFmtId="0" fontId="0" fillId="24" borderId="16" applyNumberFormat="1" applyFill="0" applyBorder="1" applyAlignment="1" applyProtection="1">
      <x:protection locked="1" hidden="0"/>
    </x:xf>
    <x:xf numFmtId="0" fontId="0" fillId="24" borderId="15" applyNumberFormat="1" applyFill="0" applyBorder="1" applyAlignment="1" applyProtection="1">
      <x:protection locked="1" hidden="0"/>
    </x:xf>
    <x:xf numFmtId="0" fontId="0" fillId="24" borderId="14" applyNumberFormat="1" applyFill="0" applyBorder="1" applyAlignment="1" applyProtection="1">
      <x:protection locked="1" hidden="0"/>
    </x:xf>
    <x:xf numFmtId="0" fontId="3" fillId="31" borderId="17" applyNumberFormat="1" applyFill="0" applyBorder="1" applyAlignment="1" applyProtection="1">
      <x:protection locked="1" hidden="0"/>
    </x:xf>
    <x:xf numFmtId="0" fontId="3" fillId="30" borderId="17" applyNumberFormat="1" applyFill="0" applyBorder="1" applyAlignment="1" applyProtection="1">
      <x:protection locked="1" hidden="0"/>
    </x:xf>
    <x:xf numFmtId="0" fontId="0" fillId="24" borderId="20" applyNumberFormat="1" applyFill="0" applyBorder="1" applyAlignment="1" applyProtection="1">
      <x:protection locked="1" hidden="0"/>
    </x:xf>
    <x:xf numFmtId="0" fontId="0" fillId="24" borderId="19" applyNumberFormat="1" applyFill="0" applyBorder="1" applyAlignment="1" applyProtection="1">
      <x:protection locked="1" hidden="0"/>
    </x:xf>
    <x:xf numFmtId="0" fontId="0" fillId="24" borderId="18" applyNumberFormat="1" applyFill="0" applyBorder="1" applyAlignment="1" applyProtection="1">
      <x:protection locked="1" hidden="0"/>
    </x:xf>
    <x:xf numFmtId="0" fontId="3" fillId="29" borderId="17" applyNumberFormat="1" applyFill="0" applyBorder="1" applyAlignment="1" applyProtection="1">
      <x:protection locked="1" hidden="0"/>
    </x:xf>
    <x:xf numFmtId="0" fontId="9" fillId="28" borderId="17" applyNumberFormat="1" applyFill="0" applyBorder="1" applyAlignment="1" applyProtection="1">
      <x:protection locked="1" hidden="0"/>
    </x:xf>
    <x:xf numFmtId="0" fontId="5" fillId="27" borderId="17" applyNumberFormat="1" applyFill="0" applyBorder="1" applyAlignment="1" applyProtection="1">
      <x:protection locked="1" hidden="0"/>
    </x:xf>
    <x:xf numFmtId="0" fontId="3" fillId="26" borderId="13" applyNumberFormat="1" applyFill="0" applyBorder="1" applyAlignment="1" applyProtection="1">
      <x:protection locked="1" hidden="0"/>
    </x:xf>
    <x:xf numFmtId="0" fontId="3" fillId="26" borderId="12" applyNumberFormat="1" applyFill="0" applyBorder="1" applyAlignment="1" applyProtection="1">
      <x:protection locked="1" hidden="0"/>
    </x:xf>
    <x:xf numFmtId="0" fontId="3" fillId="26" borderId="11" applyNumberFormat="1" applyFill="0" applyBorder="1" applyAlignment="1" applyProtection="1">
      <x:protection locked="1" hidden="0"/>
    </x:xf>
    <x:xf numFmtId="0" fontId="3" fillId="25" borderId="13" applyNumberFormat="1" applyFill="0" applyBorder="1" applyAlignment="1" applyProtection="1">
      <x:protection locked="1" hidden="0"/>
    </x:xf>
    <x:xf numFmtId="0" fontId="3" fillId="25" borderId="12" applyNumberFormat="1" applyFill="0" applyBorder="1" applyAlignment="1" applyProtection="1">
      <x:protection locked="1" hidden="0"/>
    </x:xf>
    <x:xf numFmtId="0" fontId="3" fillId="25" borderId="11" applyNumberFormat="1" applyFill="0" applyBorder="1" applyAlignment="1" applyProtection="1">
      <x:protection locked="1" hidden="0"/>
    </x:xf>
    <x:xf numFmtId="0" fontId="3" fillId="23" borderId="13" applyNumberFormat="1" applyFill="0" applyBorder="1" applyAlignment="1" applyProtection="1">
      <x:protection locked="1" hidden="0"/>
    </x:xf>
    <x:xf numFmtId="0" fontId="0" fillId="24" borderId="13" applyNumberFormat="1" applyFill="0" applyBorder="1" applyAlignment="1" applyProtection="1">
      <x:protection locked="1" hidden="0"/>
    </x:xf>
    <x:xf numFmtId="0" fontId="3" fillId="23" borderId="12" applyNumberFormat="1" applyFill="0" applyBorder="1" applyAlignment="1" applyProtection="1">
      <x:protection locked="1" hidden="0"/>
    </x:xf>
    <x:xf numFmtId="0" fontId="0" fillId="24" borderId="12" applyNumberFormat="1" applyFill="0" applyBorder="1" applyAlignment="1" applyProtection="1">
      <x:protection locked="1" hidden="0"/>
    </x:xf>
    <x:xf numFmtId="0" fontId="3" fillId="23" borderId="11" applyNumberFormat="1" applyFill="0" applyBorder="1" applyAlignment="1" applyProtection="1">
      <x:protection locked="1" hidden="0"/>
    </x:xf>
    <x:xf numFmtId="0" fontId="0" fillId="24" borderId="11" applyNumberFormat="1" applyFill="0" applyBorder="1" applyAlignment="1" applyProtection="1">
      <x:protection locked="1" hidden="0"/>
    </x:xf>
    <x:xf numFmtId="0" fontId="3" fillId="34" borderId="30" applyNumberFormat="1" applyFill="0" applyBorder="1" applyAlignment="1" applyProtection="1">
      <x:protection locked="1" hidden="0"/>
    </x:xf>
    <x:xf numFmtId="0" fontId="0" fillId="24" borderId="0" applyNumberFormat="1" applyFill="0" applyBorder="0" applyAlignment="1" applyProtection="1">
      <x:protection locked="1" hidden="0"/>
    </x:xf>
    <x:xf numFmtId="0" fontId="3" fillId="34" borderId="0" applyNumberFormat="1" applyFill="0" applyBorder="0" applyAlignment="1" applyProtection="1">
      <x:protection locked="1" hidden="0"/>
    </x:xf>
    <x:xf numFmtId="0" fontId="0" fillId="38" borderId="0" applyNumberFormat="1" applyFill="0" applyBorder="0" applyAlignment="1" applyProtection="1">
      <x:protection locked="1" hidden="0"/>
    </x:xf>
  </x:cellStyleXfs>
  <x:cellXfs count="363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1" fillId="0" borderId="6" xfId="0" applyNumberFormat="1" applyFont="1" applyBorder="1" applyAlignment="1">
      <x:alignment horizontal="center" vertical="center"/>
    </x:xf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0" xfId="0" applyAlignment="1">
      <x:alignment vertical="center" wrapText="1"/>
    </x:xf>
    <x:xf numFmtId="0" fontId="2" fillId="0" borderId="0" xfId="0" applyFont="1"/>
    <x:xf numFmtId="0" fontId="0" fillId="0" borderId="0" xfId="0" applyAlignment="1">
      <x:alignment horizontal="center"/>
    </x:xf>
    <x:xf numFmtId="0" fontId="0" fillId="0" borderId="1" xfId="0" applyBorder="1" applyAlignment="1">
      <x:alignment vertical="center"/>
    </x:xf>
    <x:xf numFmtId="49" fontId="0" fillId="0" borderId="1" xfId="0" applyNumberFormat="1" applyFill="1" applyBorder="1" applyAlignment="1">
      <x:alignment horizontal="center"/>
    </x:xf>
    <x:xf numFmtId="16" fontId="0" fillId="0" borderId="0" xfId="0" applyNumberFormat="1"/>
    <x:xf numFmtId="0" fontId="0" fillId="0" borderId="3" xfId="0" applyFill="1" applyBorder="1" applyAlignment="1">
      <x:alignment horizontal="center" vertical="center"/>
    </x:xf>
    <x:xf numFmtId="0" fontId="0" fillId="0" borderId="2" xfId="0" applyFill="1" applyBorder="1" applyAlignment="1">
      <x:alignment horizontal="center" vertical="center"/>
    </x:xf>
    <x:xf numFmtId="9" fontId="0" fillId="0" borderId="0" xfId="0" applyNumberFormat="1" applyAlignment="1">
      <x:alignment horizontal="center" vertical="center"/>
    </x:xf>
    <x:xf numFmtId="0" fontId="0" fillId="0" borderId="0" xfId="0" applyAlignment="1">
      <x:alignment horizontal="left" vertical="center" wrapText="1"/>
    </x:xf>
    <x:xf numFmtId="0" fontId="0" fillId="0" borderId="12" xfId="0" applyBorder="1"/>
    <x:xf numFmtId="0" fontId="3" fillId="0" borderId="24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0" fillId="0" borderId="0" xfId="0" applyAlignment="1">
      <x:alignment wrapText="1"/>
    </x:xf>
    <x:xf numFmtId="0" fontId="0" fillId="0" borderId="7" xfId="0" applyBorder="1" applyAlignment="1">
      <x:alignment horizontal="center" vertical="center"/>
    </x:xf>
    <x:xf numFmtId="0" fontId="0" fillId="0" borderId="2" xfId="0" applyFill="1" applyBorder="1"/>
    <x:xf numFmtId="9" fontId="0" fillId="0" borderId="3" xfId="0" applyNumberForma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165" fontId="0" fillId="0" borderId="3" xfId="0" applyNumberFormat="1" applyBorder="1"/>
    <x:xf numFmtId="0" fontId="0" fillId="0" borderId="0" xfId="0" applyNumberFormat="1" applyFill="1" applyAlignment="1" applyProtection="1">
      <x:alignment vertical="center"/>
    </x:xf>
    <x:xf numFmtId="0" fontId="0" fillId="10" borderId="2" xfId="0" applyNumberFormat="1" applyFill="1" applyBorder="1" applyAlignment="1" applyProtection="1"/>
    <x:xf numFmtId="0" fontId="0" fillId="10" borderId="3" xfId="0" applyNumberFormat="1" applyFill="1" applyBorder="1" applyAlignment="1" applyProtection="1"/>
    <x:xf numFmtId="0" fontId="0" fillId="10" borderId="4" xfId="0" applyNumberFormat="1" applyFill="1" applyBorder="1" applyAlignment="1" applyProtection="1"/>
    <x:xf numFmtId="0" fontId="0" fillId="2" borderId="1" xfId="0" applyNumberFormat="1" applyFill="1" applyBorder="1" applyAlignment="1" applyProtection="1"/>
    <x:xf numFmtId="0" fontId="0" fillId="6" borderId="1" xfId="0" applyNumberFormat="1" applyFill="1" applyBorder="1" applyAlignment="1" applyProtection="1"/>
    <x:xf numFmtId="0" fontId="0" fillId="3" borderId="2" xfId="0" applyNumberFormat="1" applyFill="1" applyBorder="1" applyAlignment="1" applyProtection="1"/>
    <x:xf numFmtId="0" fontId="0" fillId="3" borderId="3" xfId="0" applyNumberFormat="1" applyFill="1" applyBorder="1" applyAlignment="1" applyProtection="1"/>
    <x:xf numFmtId="0" fontId="0" fillId="5" borderId="1" xfId="0" applyNumberFormat="1" applyFill="1" applyBorder="1" applyAlignment="1" applyProtection="1"/>
    <x:xf numFmtId="0" fontId="0" fillId="9" borderId="1" xfId="0" applyNumberFormat="1" applyFill="1" applyBorder="1" applyAlignment="1" applyProtection="1"/>
    <x:xf numFmtId="0" fontId="0" fillId="11" borderId="1" xfId="0" applyNumberFormat="1" applyFill="1" applyBorder="1" applyAlignment="1" applyProtection="1"/>
    <x:xf numFmtId="0" fontId="0" fillId="7" borderId="1" xfId="0" applyNumberFormat="1" applyFill="1" applyBorder="1" applyAlignment="1" applyProtection="1"/>
    <x:xf numFmtId="0" fontId="0" fillId="12" borderId="1" xfId="0" applyNumberFormat="1" applyFill="1" applyBorder="1" applyAlignment="1" applyProtection="1"/>
    <x:xf numFmtId="0" fontId="0" fillId="4" borderId="2" xfId="0" applyNumberFormat="1" applyFill="1" applyBorder="1" applyAlignment="1" applyProtection="1"/>
    <x:xf numFmtId="0" fontId="0" fillId="4" borderId="3" xfId="0" applyNumberFormat="1" applyFill="1" applyBorder="1" applyAlignment="1" applyProtection="1"/>
    <x:xf numFmtId="0" fontId="0" fillId="14" borderId="1" xfId="0" applyNumberFormat="1" applyFill="1" applyBorder="1" applyAlignment="1" applyProtection="1"/>
    <x:xf numFmtId="0" fontId="0" fillId="15" borderId="1" xfId="0" applyNumberFormat="1" applyFill="1" applyBorder="1" applyAlignment="1" applyProtection="1">
      <x:alignment horizontal="center"/>
    </x:xf>
    <x:xf numFmtId="0" fontId="0" fillId="3" borderId="1" xfId="0" applyNumberFormat="1" applyFill="1" applyBorder="1" applyAlignment="1" applyProtection="1">
      <x:alignment horizontal="center"/>
    </x:xf>
    <x:xf numFmtId="0" fontId="0" fillId="3" borderId="1" xfId="0" applyNumberFormat="1" applyFill="1" applyBorder="1" applyAlignment="1" applyProtection="1">
      <x:alignment horizontal="center" vertical="center"/>
    </x:xf>
    <x:xf numFmtId="0" fontId="0" fillId="16" borderId="1" xfId="0" applyNumberFormat="1" applyFill="1" applyBorder="1" applyAlignment="1" applyProtection="1">
      <x:alignment horizontal="center"/>
    </x:xf>
    <x:xf numFmtId="0" fontId="0" fillId="16" borderId="1" xfId="0" applyNumberFormat="1" applyFill="1" applyBorder="1" applyAlignment="1" applyProtection="1">
      <x:alignment horizontal="center" vertical="center"/>
    </x:xf>
    <x:xf numFmtId="0" fontId="0" fillId="15" borderId="2" xfId="0" applyNumberFormat="1" applyFill="1" applyBorder="1" applyAlignment="1" applyProtection="1">
      <x:alignment horizontal="center"/>
    </x:xf>
    <x:xf numFmtId="0" fontId="0" fillId="16" borderId="2" xfId="0" applyNumberFormat="1" applyFill="1" applyBorder="1" applyAlignment="1" applyProtection="1">
      <x:alignment horizontal="center"/>
    </x:xf>
    <x:xf numFmtId="0" fontId="0" fillId="13" borderId="1" xfId="0" applyNumberFormat="1" applyFill="1" applyBorder="1" applyAlignment="1" applyProtection="1"/>
    <x:xf numFmtId="0" fontId="0" fillId="3" borderId="2" xfId="0" applyNumberFormat="1" applyFill="1" applyBorder="1" applyAlignment="1" applyProtection="1">
      <x:alignment horizontal="center"/>
    </x:xf>
    <x:xf numFmtId="0" fontId="0" fillId="13" borderId="27" xfId="0" applyNumberFormat="1" applyFill="1" applyBorder="1" applyAlignment="1" applyProtection="1"/>
    <x:xf numFmtId="0" fontId="0" fillId="16" borderId="10" xfId="0" applyNumberFormat="1" applyFill="1" applyBorder="1" applyAlignment="1" applyProtection="1">
      <x:alignment horizontal="center"/>
    </x:xf>
    <x:xf numFmtId="0" fontId="0" fillId="14" borderId="29" xfId="0" applyNumberFormat="1" applyFill="1" applyBorder="1" applyAlignment="1" applyProtection="1"/>
    <x:xf numFmtId="0" fontId="0" fillId="15" borderId="9" xfId="0" applyNumberFormat="1" applyFill="1" applyBorder="1" applyAlignment="1" applyProtection="1">
      <x:alignment horizontal="center"/>
    </x:xf>
    <x:xf numFmtId="0" fontId="0" fillId="19" borderId="1" xfId="0" applyNumberFormat="1" applyFill="1" applyBorder="1" applyAlignment="1" applyProtection="1"/>
    <x:xf numFmtId="0" fontId="0" fillId="22" borderId="1" xfId="0" applyNumberFormat="1" applyFill="1" applyBorder="1" applyAlignment="1" applyProtection="1"/>
    <x:xf numFmtId="0" fontId="0" fillId="21" borderId="1" xfId="0" applyNumberFormat="1" applyFill="1" applyBorder="1" applyAlignment="1" applyProtection="1"/>
    <x:xf numFmtId="0" fontId="0" fillId="20" borderId="1" xfId="0" applyNumberFormat="1" applyFill="1" applyBorder="1" applyAlignment="1" applyProtection="1"/>
    <x:xf numFmtId="0" fontId="0" fillId="3" borderId="1" xfId="0" applyNumberFormat="1" applyFill="1" applyBorder="1" applyAlignment="1" applyProtection="1"/>
    <x:xf numFmtId="0" fontId="0" fillId="17" borderId="3" xfId="0" applyNumberFormat="1" applyFill="1" applyBorder="1" applyAlignment="1" applyProtection="1">
      <x:alignment horizontal="center" vertical="center"/>
    </x:xf>
    <x:xf numFmtId="9" fontId="0" fillId="13" borderId="4" xfId="0" applyNumberFormat="1" applyFill="1" applyBorder="1" applyAlignment="1" applyProtection="1">
      <x:alignment horizontal="center" vertical="center"/>
    </x:xf>
    <x:xf numFmtId="0" fontId="0" fillId="24" borderId="2" xfId="0" applyNumberFormat="1" applyFill="1" applyBorder="1" applyAlignment="1" applyProtection="1">
      <x:alignment horizontal="center" vertical="center" wrapText="1"/>
    </x:xf>
    <x:xf numFmtId="0" fontId="0" fillId="24" borderId="3" xfId="0" applyNumberFormat="1" applyFill="1" applyBorder="1" applyAlignment="1" applyProtection="1">
      <x:alignment horizontal="center" vertical="center"/>
    </x:xf>
    <x:xf numFmtId="164" fontId="0" fillId="24" borderId="3" xfId="0" applyNumberFormat="1" applyFill="1" applyBorder="1" applyAlignment="1" applyProtection="1">
      <x:alignment horizontal="center" vertical="center"/>
    </x:xf>
    <x:xf numFmtId="0" fontId="0" fillId="24" borderId="4" xfId="0" applyNumberFormat="1" applyFill="1" applyBorder="1" applyAlignment="1" applyProtection="1">
      <x:alignment horizontal="center" vertical="center"/>
    </x:xf>
    <x:xf numFmtId="0" fontId="0" fillId="13" borderId="2" xfId="0" applyNumberFormat="1" applyFill="1" applyBorder="1" applyAlignment="1" applyProtection="1">
      <x:alignment horizontal="center" vertical="center" wrapText="1"/>
    </x:xf>
    <x:xf numFmtId="0" fontId="0" fillId="13" borderId="3" xfId="0" applyNumberFormat="1" applyFill="1" applyBorder="1" applyAlignment="1" applyProtection="1">
      <x:alignment horizontal="center" vertical="center"/>
    </x:xf>
    <x:xf numFmtId="164" fontId="0" fillId="13" borderId="3" xfId="0" applyNumberFormat="1" applyFill="1" applyBorder="1" applyAlignment="1" applyProtection="1">
      <x:alignment horizontal="center" vertical="center"/>
    </x:xf>
    <x:xf numFmtId="0" fontId="0" fillId="13" borderId="4" xfId="0" applyNumberFormat="1" applyFill="1" applyBorder="1" applyAlignment="1" applyProtection="1">
      <x:alignment horizontal="center" vertical="center"/>
    </x:xf>
    <x:xf numFmtId="0" fontId="0" fillId="13" borderId="2" xfId="0" applyNumberFormat="1" applyFill="1" applyBorder="1" applyAlignment="1" applyProtection="1">
      <x:alignment horizontal="center" vertical="center"/>
    </x:xf>
    <x:xf numFmtId="0" fontId="0" fillId="13" borderId="3" xfId="0" applyNumberFormat="1" applyFill="1" applyBorder="1" applyAlignment="1" applyProtection="1">
      <x:alignment horizontal="center"/>
    </x:xf>
    <x:xf numFmtId="0" fontId="0" fillId="13" borderId="0" xfId="0" applyNumberFormat="1" applyFill="1" applyAlignment="1" applyProtection="1">
      <x:alignment horizontal="center" vertical="center"/>
    </x:xf>
    <x:xf numFmtId="0" fontId="0" fillId="18" borderId="3" xfId="0" applyNumberFormat="1" applyFill="1" applyBorder="1" applyAlignment="1" applyProtection="1">
      <x:alignment horizontal="center" vertical="center"/>
    </x:xf>
    <x:xf numFmtId="0" fontId="0" fillId="24" borderId="2" xfId="0" applyNumberFormat="1" applyFill="1" applyBorder="1" applyAlignment="1" applyProtection="1">
      <x:alignment horizontal="center" vertical="center"/>
    </x:xf>
    <x:xf numFmtId="9" fontId="0" fillId="13" borderId="3" xfId="0" applyNumberFormat="1" applyFill="1" applyBorder="1" applyAlignment="1" applyProtection="1">
      <x:alignment horizontal="center" vertical="center"/>
    </x:xf>
    <x:xf numFmtId="0" fontId="0" fillId="13" borderId="4" xfId="0" applyNumberFormat="1" applyFill="1" applyBorder="1" applyAlignment="1" applyProtection="1">
      <x:alignment horizontal="center"/>
    </x:xf>
    <x:xf numFmtId="0" fontId="2" fillId="35" borderId="3" xfId="0" applyNumberFormat="1" applyFont="1" applyFill="1" applyBorder="1" applyAlignment="1" applyProtection="1">
      <x:alignment horizontal="center"/>
    </x:xf>
    <x:xf numFmtId="0" fontId="0" fillId="22" borderId="1" xfId="0" applyNumberFormat="1" applyFill="1" applyBorder="1" applyAlignment="1" applyProtection="1">
      <x:alignment horizontal="center"/>
    </x:xf>
    <x:xf numFmtId="0" fontId="0" fillId="24" borderId="23" xfId="0" applyNumberFormat="1" applyFill="1" applyBorder="1" applyAlignment="1" applyProtection="1">
      <x:alignment vertical="center" wrapText="1"/>
    </x:xf>
    <x:xf numFmtId="0" fontId="0" fillId="24" borderId="22" xfId="0" applyNumberFormat="1" applyFill="1" applyBorder="1" applyAlignment="1" applyProtection="1">
      <x:alignment vertical="center" wrapText="1"/>
    </x:xf>
    <x:xf numFmtId="0" fontId="0" fillId="24" borderId="21" xfId="0" applyNumberFormat="1" applyFill="1" applyBorder="1" applyAlignment="1" applyProtection="1">
      <x:alignment vertical="center" wrapText="1"/>
    </x:xf>
    <x:xf numFmtId="0" fontId="0" fillId="24" borderId="16" xfId="0" applyNumberFormat="1" applyFill="1" applyBorder="1" applyAlignment="1" applyProtection="1">
      <x:alignment vertical="center" wrapText="1"/>
    </x:xf>
    <x:xf numFmtId="0" fontId="0" fillId="24" borderId="15" xfId="0" applyNumberFormat="1" applyFill="1" applyBorder="1" applyAlignment="1" applyProtection="1">
      <x:alignment vertical="center" wrapText="1"/>
    </x:xf>
    <x:xf numFmtId="0" fontId="0" fillId="24" borderId="14" xfId="0" applyNumberFormat="1" applyFill="1" applyBorder="1" applyAlignment="1" applyProtection="1">
      <x:alignment vertical="center" wrapText="1"/>
    </x:xf>
    <x:xf numFmtId="0" fontId="0" fillId="24" borderId="20" xfId="0" applyNumberFormat="1" applyFill="1" applyBorder="1" applyAlignment="1" applyProtection="1">
      <x:alignment vertical="center" wrapText="1"/>
    </x:xf>
    <x:xf numFmtId="0" fontId="0" fillId="24" borderId="19" xfId="0" applyNumberFormat="1" applyFill="1" applyBorder="1" applyAlignment="1" applyProtection="1">
      <x:alignment vertical="center" wrapText="1"/>
    </x:xf>
    <x:xf numFmtId="0" fontId="0" fillId="24" borderId="18" xfId="0" applyNumberFormat="1" applyFill="1" applyBorder="1" applyAlignment="1" applyProtection="1">
      <x:alignment vertical="center" wrapText="1"/>
    </x:xf>
    <x:xf numFmtId="0" fontId="0" fillId="24" borderId="16" xfId="0" applyNumberFormat="1" applyFill="1" applyBorder="1" applyAlignment="1" applyProtection="1">
      <x:alignment wrapText="1"/>
    </x:xf>
    <x:xf numFmtId="0" fontId="0" fillId="24" borderId="15" xfId="0" applyNumberFormat="1" applyFill="1" applyBorder="1" applyAlignment="1" applyProtection="1">
      <x:alignment wrapText="1"/>
    </x:xf>
    <x:xf numFmtId="0" fontId="0" fillId="24" borderId="14" xfId="0" applyNumberFormat="1" applyFill="1" applyBorder="1" applyAlignment="1" applyProtection="1">
      <x:alignment wrapText="1"/>
    </x:xf>
    <x:xf numFmtId="0" fontId="0" fillId="24" borderId="13" xfId="0" applyNumberFormat="1" applyFill="1" applyBorder="1" applyAlignment="1" applyProtection="1">
      <x:alignment horizontal="left" vertical="center" wrapText="1"/>
    </x:xf>
    <x:xf numFmtId="0" fontId="0" fillId="24" borderId="12" xfId="0" applyNumberFormat="1" applyFill="1" applyBorder="1" applyAlignment="1" applyProtection="1">
      <x:alignment horizontal="left" vertical="center" wrapText="1"/>
    </x:xf>
    <x:xf numFmtId="0" fontId="0" fillId="24" borderId="12" xfId="0" applyNumberFormat="1" applyFill="1" applyBorder="1" applyAlignment="1" applyProtection="1"/>
    <x:xf numFmtId="0" fontId="0" fillId="24" borderId="12" xfId="0" applyNumberFormat="1" applyFill="1" applyBorder="1" applyAlignment="1" applyProtection="1">
      <x:alignment wrapText="1"/>
    </x:xf>
    <x:xf numFmtId="0" fontId="0" fillId="24" borderId="11" xfId="0" applyNumberFormat="1" applyFill="1" applyBorder="1" applyAlignment="1" applyProtection="1">
      <x:alignment horizontal="left" vertical="center" wrapText="1"/>
    </x:xf>
    <x:xf numFmtId="0" fontId="0" fillId="24" borderId="0" xfId="0" applyNumberFormat="1" applyFill="1" applyAlignment="1" applyProtection="1">
      <x:alignment horizontal="left" vertical="center" wrapText="1"/>
    </x:xf>
    <x:xf numFmtId="0" fontId="0" fillId="24" borderId="3" xfId="0" applyNumberFormat="1" applyFill="1" applyBorder="1" applyAlignment="1" applyProtection="1">
      <x:alignment horizontal="center"/>
    </x:xf>
    <x:xf numFmtId="0" fontId="0" fillId="24" borderId="4" xfId="0" applyNumberFormat="1" applyFill="1" applyBorder="1" applyAlignment="1" applyProtection="1">
      <x:alignment horizontal="center"/>
    </x:xf>
    <x:xf numFmtId="0" fontId="0" fillId="24" borderId="3" xfId="0" quotePrefix="1" applyNumberFormat="1" applyFill="1" applyBorder="1" applyAlignment="1" applyProtection="1">
      <x:alignment horizontal="center" vertical="center"/>
    </x:xf>
    <x:xf numFmtId="0" fontId="0" fillId="19" borderId="1" xfId="0" applyNumberFormat="1" applyFill="1" applyBorder="1" applyAlignment="1" applyProtection="1">
      <x:alignment horizontal="left"/>
    </x:xf>
    <x:xf numFmtId="49" fontId="0" fillId="0" borderId="1" xfId="0" applyNumberFormat="1" applyBorder="1" applyAlignment="1">
      <x:alignment horizontal="center" vertical="center"/>
    </x:xf>
    <x:xf numFmtId="0" fontId="14" fillId="8" borderId="1" xfId="0" applyNumberFormat="1" applyFont="1" applyFill="1" applyBorder="1" applyAlignment="1" applyProtection="1"/>
    <x:xf numFmtId="0" fontId="15" fillId="0" borderId="3" xfId="0" applyFont="1" applyFill="1" applyBorder="1" applyAlignment="1">
      <x:alignment horizontal="center" vertical="center"/>
    </x:xf>
    <x:xf numFmtId="0" fontId="0" fillId="36" borderId="2" xfId="0" applyNumberFormat="1" applyFill="1" applyBorder="1" applyAlignment="1" applyProtection="1">
      <x:alignment horizontal="center" vertical="center" wrapText="1"/>
    </x:xf>
    <x:xf numFmtId="0" fontId="0" fillId="36" borderId="3" xfId="0" applyNumberFormat="1" applyFill="1" applyBorder="1" applyAlignment="1" applyProtection="1">
      <x:alignment horizontal="center" vertical="center"/>
    </x:xf>
    <x:xf numFmtId="164" fontId="0" fillId="36" borderId="3" xfId="0" applyNumberFormat="1" applyFill="1" applyBorder="1" applyAlignment="1" applyProtection="1">
      <x:alignment horizontal="center" vertical="center"/>
    </x:xf>
    <x:xf numFmtId="0" fontId="0" fillId="36" borderId="4" xfId="0" applyNumberFormat="1" applyFill="1" applyBorder="1" applyAlignment="1" applyProtection="1">
      <x:alignment horizontal="center" vertical="center"/>
    </x:xf>
    <x:xf numFmtId="0" fontId="0" fillId="36" borderId="3" xfId="0" applyFill="1" applyBorder="1" applyAlignment="1">
      <x:alignment horizontal="center" vertical="center"/>
    </x:xf>
    <x:xf numFmtId="0" fontId="0" fillId="13" borderId="6" xfId="0" applyNumberFormat="1" applyFill="1" applyBorder="1" applyAlignment="1" applyProtection="1">
      <x:alignment horizontal="center" vertical="center"/>
    </x:xf>
    <x:xf numFmtId="9" fontId="0" fillId="13" borderId="4" xfId="0" applyNumberFormat="1" applyFill="1" applyBorder="1" applyAlignment="1" applyProtection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5" xfId="0" applyNumberFormat="1" applyFill="1" applyBorder="1" applyAlignment="1" applyProtection="1">
      <x:alignment vertical="center"/>
    </x:xf>
    <x:xf numFmtId="0" fontId="7" fillId="0" borderId="27" xfId="0" applyFont="1" applyFill="1" applyBorder="1" applyAlignment="1">
      <x:alignment vertical="center"/>
    </x:xf>
    <x:xf numFmtId="0" fontId="7" fillId="0" borderId="28" xfId="0" applyFont="1" applyFill="1" applyBorder="1" applyAlignment="1">
      <x:alignment vertical="center"/>
    </x:xf>
    <x:xf numFmtId="165" fontId="0" fillId="37" borderId="3" xfId="0" applyNumberFormat="1" applyFill="1" applyBorder="1"/>
    <x:xf numFmtId="0" fontId="0" fillId="37" borderId="3" xfId="0" applyFill="1" applyBorder="1"/>
    <x:xf numFmtId="0" fontId="0" fillId="0" borderId="1" xfId="0" applyBorder="1" applyAlignment="1">
      <x:alignment horizontal="center" vertical="center"/>
    </x:xf>
    <x:xf numFmtId="0" fontId="0" fillId="13" borderId="0" xfId="0" applyNumberFormat="1" applyFill="1" applyBorder="1" applyAlignment="1" applyProtection="1">
      <x:alignment horizontal="center" vertical="center"/>
    </x:xf>
    <x:xf numFmtId="164" fontId="0" fillId="13" borderId="0" xfId="0" applyNumberFormat="1" applyFill="1" applyBorder="1" applyAlignment="1" applyProtection="1">
      <x:alignment horizontal="center" vertical="center"/>
    </x:xf>
    <x:xf numFmtId="0" fontId="0" fillId="0" borderId="9" xfId="0" applyFill="1" applyBorder="1" applyAlignment="1">
      <x:alignment horizontal="center" vertical="center"/>
    </x:xf>
    <x:xf numFmtId="9" fontId="0" fillId="13" borderId="3" xfId="0" applyNumberFormat="1" applyFill="1" applyBorder="1" applyAlignment="1" applyProtection="1">
      <x:alignment vertical="center"/>
    </x:xf>
    <x:xf numFmtId="9" fontId="0" fillId="13" borderId="4" xfId="0" applyNumberFormat="1" applyFill="1" applyBorder="1" applyAlignment="1" applyProtection="1">
      <x:alignment vertical="center"/>
    </x:xf>
    <x:xf numFmtId="0" fontId="0" fillId="0" borderId="3" xfId="0" applyBorder="1" applyAlignment="1">
      <x:alignment horizontal="center" vertical="center"/>
    </x:xf>
    <x:xf numFmtId="0" fontId="0" fillId="0" borderId="7" xfId="0" applyFill="1" applyBorder="1" applyAlignment="1">
      <x:alignment horizontal="center" vertical="center"/>
    </x:xf>
    <x:xf numFmtId="0" fontId="0" fillId="24" borderId="0" xfId="0" applyFill="1" applyAlignment="1">
      <x:alignment horizontal="left" vertical="center" wrapText="1"/>
    </x:xf>
    <x:xf numFmtId="0" fontId="0" fillId="38" borderId="0" xfId="0" applyFill="1" applyAlignment="1">
      <x:alignment horizontal="left" vertical="center" wrapText="1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13" borderId="5" xfId="0" applyNumberFormat="1" applyFill="1" applyBorder="1" applyAlignment="1" applyProtection="1">
      <x:alignment horizontal="center" vertical="center" wrapText="1"/>
    </x:xf>
    <x:xf numFmtId="0" fontId="0" fillId="13" borderId="0" xfId="0" applyNumberFormat="1" applyFill="1" applyAlignment="1" applyProtection="1">
      <x:alignment horizontal="center" vertical="center" wrapText="1"/>
    </x:xf>
    <x:xf numFmtId="49" fontId="1" fillId="0" borderId="6" xfId="0" applyNumberFormat="1" applyFont="1" applyBorder="1" applyAlignment="1">
      <x:alignment horizontal="center" vertical="center"/>
    </x:xf>
    <x:xf numFmtId="0" fontId="0" fillId="0" borderId="5" xfId="0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13" borderId="0" xfId="0" applyNumberFormat="1" applyFill="1" applyAlignment="1" applyProtection="1">
      <x:alignment horizontal="center" wrapText="1"/>
    </x:xf>
    <x:xf numFmtId="2" fontId="0" fillId="0" borderId="0" xfId="0" applyNumberFormat="1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0" fontId="0" fillId="4" borderId="2" xfId="0" applyNumberFormat="1" applyFill="1" applyBorder="1" applyAlignment="1" applyProtection="1">
      <x:alignment horizontal="center"/>
    </x:xf>
    <x:xf numFmtId="0" fontId="0" fillId="4" borderId="3" xfId="0" applyNumberFormat="1" applyFill="1" applyBorder="1" applyAlignment="1" applyProtection="1">
      <x:alignment horizontal="center"/>
    </x:xf>
    <x:xf numFmtId="10" fontId="1" fillId="0" borderId="5" xfId="0" applyNumberFormat="1" applyFont="1" applyBorder="1" applyAlignment="1">
      <x:alignment horizontal="center" vertical="center" wrapText="1"/>
    </x:xf>
    <x:xf numFmtId="10" fontId="1" fillId="0" borderId="0" xfId="0" applyNumberFormat="1" applyFont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/>
    </x:xf>
    <x:xf numFmtId="0" fontId="1" fillId="0" borderId="25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26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64" fontId="0" fillId="0" borderId="1" xfId="0" applyNumberForma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4" borderId="4" xfId="0" applyNumberFormat="1" applyFill="1" applyBorder="1" applyAlignment="1" applyProtection="1">
      <x:alignment horizontal="center"/>
    </x:xf>
    <x:xf numFmtId="0" fontId="1" fillId="0" borderId="10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4" fillId="0" borderId="27" xfId="0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/>
    </x:xf>
    <x:xf numFmtId="0" fontId="4" fillId="0" borderId="29" xfId="0" applyFont="1" applyBorder="1" applyAlignment="1">
      <x:alignment horizontal="center" vertical="center"/>
    </x:xf>
    <x:xf numFmtId="0" fontId="10" fillId="0" borderId="8" xfId="0" applyFont="1" applyBorder="1" applyAlignment="1">
      <x:alignment horizontal="center" vertical="center" wrapText="1"/>
    </x:xf>
    <x:xf numFmtId="0" fontId="10" fillId="0" borderId="25" xfId="0" applyFont="1" applyBorder="1" applyAlignment="1">
      <x:alignment horizontal="center" vertical="center" wrapText="1"/>
    </x:xf>
    <x:xf numFmtId="0" fontId="10" fillId="0" borderId="0" xfId="0" applyFont="1" applyBorder="1" applyAlignment="1">
      <x:alignment horizontal="center" vertical="center" wrapText="1"/>
    </x:xf>
    <x:xf numFmtId="0" fontId="10" fillId="0" borderId="6" xfId="0" applyFont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 wrapText="1"/>
    </x:xf>
    <x:xf numFmtId="0" fontId="12" fillId="0" borderId="10" xfId="0" applyFont="1" applyBorder="1" applyAlignment="1">
      <x:alignment horizontal="center" vertical="center"/>
    </x:xf>
    <x:xf numFmtId="0" fontId="12" fillId="0" borderId="8" xfId="0" applyFont="1" applyBorder="1" applyAlignment="1">
      <x:alignment horizontal="center" vertical="center"/>
    </x:xf>
    <x:xf numFmtId="0" fontId="12" fillId="0" borderId="25" xfId="0" applyFont="1" applyBorder="1" applyAlignment="1">
      <x:alignment horizontal="center" vertical="center"/>
    </x:xf>
    <x:xf numFmtId="0" fontId="12" fillId="0" borderId="9" xfId="0" applyFont="1" applyBorder="1" applyAlignment="1">
      <x:alignment horizontal="center" vertical="center"/>
    </x:xf>
    <x:xf numFmtId="0" fontId="12" fillId="0" borderId="7" xfId="0" applyFont="1" applyBorder="1" applyAlignment="1">
      <x:alignment horizontal="center" vertical="center"/>
    </x:xf>
    <x:xf numFmtId="0" fontId="12" fillId="0" borderId="26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 wrapText="1"/>
    </x:xf>
    <x:xf numFmtId="0" fontId="10" fillId="0" borderId="5" xfId="0" applyFont="1" applyBorder="1" applyAlignment="1">
      <x:alignment horizontal="center" vertical="center" wrapText="1"/>
    </x:xf>
    <x:xf numFmtId="0" fontId="16" fillId="0" borderId="10" xfId="0" applyFont="1" applyBorder="1" applyAlignment="1">
      <x:alignment horizontal="center" vertical="center"/>
    </x:xf>
    <x:xf numFmtId="0" fontId="16" fillId="0" borderId="8" xfId="0" applyFont="1" applyBorder="1" applyAlignment="1">
      <x:alignment horizontal="center" vertical="center"/>
    </x:xf>
    <x:xf numFmtId="0" fontId="16" fillId="0" borderId="25" xfId="0" applyFont="1" applyBorder="1" applyAlignment="1">
      <x:alignment horizontal="center" vertical="center"/>
    </x:xf>
    <x:xf numFmtId="0" fontId="16" fillId="0" borderId="5" xfId="0" applyFont="1" applyBorder="1" applyAlignment="1">
      <x:alignment horizontal="center" vertical="center"/>
    </x:xf>
    <x:xf numFmtId="0" fontId="16" fillId="0" borderId="0" xfId="0" applyFont="1" applyBorder="1" applyAlignment="1">
      <x:alignment horizontal="center" vertical="center"/>
    </x:xf>
    <x:xf numFmtId="0" fontId="16" fillId="0" borderId="6" xfId="0" applyFont="1" applyBorder="1" applyAlignment="1">
      <x:alignment horizontal="center" vertical="center"/>
    </x:xf>
    <x:xf numFmtId="0" fontId="0" fillId="0" borderId="29" xfId="0" applyBorder="1" applyAlignment="1">
      <x:alignment horizontal="center" vertical="center"/>
    </x:xf>
    <x:xf numFmtId="0" fontId="0" fillId="0" borderId="29" xfId="0" applyBorder="1" applyAlignment="1">
      <x:alignment horizontal="center"/>
    </x:xf>
    <x:xf numFmtId="0" fontId="0" fillId="0" borderId="29" xfId="0" applyBorder="1" applyAlignment="1">
      <x:alignment horizontal="center" vertical="center" wrapText="1"/>
    </x:xf>
    <x:xf numFmtId="0" fontId="0" fillId="0" borderId="28" xfId="0" applyBorder="1" applyAlignment="1">
      <x:alignment horizontal="center" vertical="center" wrapText="1"/>
    </x:xf>
    <x:xf numFmtId="0" fontId="0" fillId="0" borderId="28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0" borderId="28" xfId="0" applyFont="1" applyFill="1" applyBorder="1" applyAlignment="1">
      <x:alignment horizontal="center" vertical="center"/>
    </x:xf>
    <x:xf numFmtId="0" fontId="7" fillId="0" borderId="29" xfId="0" applyFont="1" applyFill="1" applyBorder="1" applyAlignment="1">
      <x:alignment horizontal="center" vertical="center"/>
    </x:xf>
    <x:xf numFmtId="0" fontId="0" fillId="0" borderId="27" xfId="0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7" fillId="0" borderId="1" xfId="0" applyFont="1" applyFill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1" fillId="0" borderId="10" xfId="0" applyFont="1" applyBorder="1" applyAlignment="1">
      <x:alignment horizontal="center" vertical="center"/>
    </x:xf>
    <x:xf numFmtId="0" fontId="11" fillId="0" borderId="8" xfId="0" applyFont="1" applyBorder="1" applyAlignment="1">
      <x:alignment horizontal="center" vertical="center"/>
    </x:xf>
    <x:xf numFmtId="0" fontId="11" fillId="0" borderId="25" xfId="0" applyFont="1" applyBorder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0" fontId="11" fillId="0" borderId="26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/>
    </x:xf>
    <x:xf numFmtId="0" fontId="0" fillId="0" borderId="9" xfId="0" applyFill="1" applyBorder="1" applyAlignment="1">
      <x:alignment horizontal="center" vertical="center"/>
    </x:xf>
    <x:xf numFmtId="0" fontId="0" fillId="0" borderId="26" xfId="0" applyBorder="1" applyAlignment="1">
      <x:alignment horizontal="center" vertical="center"/>
    </x:xf>
    <x:xf numFmtId="0" fontId="0" fillId="0" borderId="10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7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7" fillId="0" borderId="27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/>
    </x:xf>
    <x:xf numFmtId="0" fontId="0" fillId="0" borderId="26" xfId="0" applyBorder="1" applyAlignment="1">
      <x:alignment horizontal="center"/>
    </x:xf>
    <x:xf numFmtId="0" fontId="3" fillId="33" borderId="17" xfId="0" applyNumberFormat="1" applyFont="1" applyFill="1" applyBorder="1" applyAlignment="1" applyProtection="1">
      <x:alignment horizontal="center" vertical="center"/>
    </x:xf>
    <x:xf numFmtId="0" fontId="0" fillId="0" borderId="13" xfId="0" applyFill="1" applyBorder="1" applyAlignment="1">
      <x:alignment horizontal="center" vertical="center"/>
    </x:xf>
    <x:xf numFmtId="0" fontId="0" fillId="0" borderId="12" xfId="0" applyFill="1" applyBorder="1" applyAlignment="1">
      <x:alignment horizontal="center" vertical="center"/>
    </x:xf>
    <x:xf numFmtId="0" fontId="0" fillId="0" borderId="11" xfId="0" applyFill="1" applyBorder="1" applyAlignment="1">
      <x:alignment horizontal="center" vertical="center"/>
    </x:xf>
    <x:xf numFmtId="0" fontId="3" fillId="32" borderId="17" xfId="0" applyNumberFormat="1" applyFont="1" applyFill="1" applyBorder="1" applyAlignment="1" applyProtection="1">
      <x:alignment horizontal="center" vertical="center" wrapText="1"/>
    </x:xf>
    <x:xf numFmtId="0" fontId="3" fillId="31" borderId="17" xfId="0" applyNumberFormat="1" applyFont="1" applyFill="1" applyBorder="1" applyAlignment="1" applyProtection="1">
      <x:alignment horizontal="center" vertical="center"/>
    </x:xf>
    <x:xf numFmtId="0" fontId="3" fillId="30" borderId="17" xfId="0" applyNumberFormat="1" applyFont="1" applyFill="1" applyBorder="1" applyAlignment="1" applyProtection="1">
      <x:alignment horizontal="center" vertical="center"/>
    </x:xf>
    <x:xf numFmtId="0" fontId="0" fillId="0" borderId="13" xfId="0" applyBorder="1" applyAlignment="1">
      <x:alignment horizontal="center"/>
    </x:xf>
    <x:xf numFmtId="0" fontId="0" fillId="0" borderId="12" xfId="0" applyBorder="1" applyAlignment="1">
      <x:alignment horizontal="center"/>
    </x:xf>
    <x:xf numFmtId="0" fontId="0" fillId="0" borderId="11" xfId="0" applyBorder="1" applyAlignment="1">
      <x:alignment horizontal="center"/>
    </x:xf>
    <x:xf numFmtId="0" fontId="3" fillId="29" borderId="17" xfId="0" applyNumberFormat="1" applyFont="1" applyFill="1" applyBorder="1" applyAlignment="1" applyProtection="1">
      <x:alignment horizontal="center" vertical="center" wrapText="1"/>
    </x:xf>
    <x:xf numFmtId="0" fontId="0" fillId="0" borderId="13" xfId="0" applyBorder="1" applyAlignment="1">
      <x:alignment horizontal="center" vertical="center" wrapText="1"/>
    </x:xf>
    <x:xf numFmtId="0" fontId="0" fillId="0" borderId="12" xfId="0" applyBorder="1" applyAlignment="1">
      <x:alignment horizontal="center" vertical="center" wrapText="1"/>
    </x:xf>
    <x:xf numFmtId="0" fontId="9" fillId="28" borderId="17" xfId="0" applyNumberFormat="1" applyFont="1" applyFill="1" applyBorder="1" applyAlignment="1" applyProtection="1">
      <x:alignment horizontal="center" vertical="center"/>
    </x:xf>
    <x:xf numFmtId="0" fontId="5" fillId="27" borderId="17" xfId="0" applyNumberFormat="1" applyFont="1" applyFill="1" applyBorder="1" applyAlignment="1" applyProtection="1">
      <x:alignment horizontal="center" vertical="center"/>
    </x:xf>
    <x:xf numFmtId="0" fontId="3" fillId="26" borderId="13" xfId="0" applyNumberFormat="1" applyFont="1" applyFill="1" applyBorder="1" applyAlignment="1" applyProtection="1">
      <x:alignment horizontal="center" vertical="center"/>
    </x:xf>
    <x:xf numFmtId="0" fontId="3" fillId="26" borderId="12" xfId="0" applyNumberFormat="1" applyFont="1" applyFill="1" applyBorder="1" applyAlignment="1" applyProtection="1">
      <x:alignment horizontal="center" vertical="center"/>
    </x:xf>
    <x:xf numFmtId="0" fontId="3" fillId="26" borderId="11" xfId="0" applyNumberFormat="1" applyFont="1" applyFill="1" applyBorder="1" applyAlignment="1" applyProtection="1">
      <x:alignment horizontal="center" vertical="center"/>
    </x:xf>
    <x:xf numFmtId="0" fontId="3" fillId="25" borderId="13" xfId="0" applyNumberFormat="1" applyFont="1" applyFill="1" applyBorder="1" applyAlignment="1" applyProtection="1">
      <x:alignment horizontal="center" vertical="center"/>
    </x:xf>
    <x:xf numFmtId="0" fontId="3" fillId="25" borderId="12" xfId="0" applyNumberFormat="1" applyFont="1" applyFill="1" applyBorder="1" applyAlignment="1" applyProtection="1">
      <x:alignment horizontal="center" vertical="center"/>
    </x:xf>
    <x:xf numFmtId="0" fontId="3" fillId="25" borderId="11" xfId="0" applyNumberFormat="1" applyFont="1" applyFill="1" applyBorder="1" applyAlignment="1" applyProtection="1">
      <x:alignment horizontal="center" vertical="center"/>
    </x:xf>
    <x:xf numFmtId="0" fontId="3" fillId="23" borderId="13" xfId="0" applyNumberFormat="1" applyFont="1" applyFill="1" applyBorder="1" applyAlignment="1" applyProtection="1">
      <x:alignment horizontal="center" vertical="center"/>
    </x:xf>
    <x:xf numFmtId="0" fontId="3" fillId="23" borderId="12" xfId="0" applyNumberFormat="1" applyFont="1" applyFill="1" applyBorder="1" applyAlignment="1" applyProtection="1">
      <x:alignment horizontal="center" vertical="center"/>
    </x:xf>
    <x:xf numFmtId="0" fontId="3" fillId="23" borderId="11" xfId="0" applyNumberFormat="1" applyFont="1" applyFill="1" applyBorder="1" applyAlignment="1" applyProtection="1">
      <x:alignment horizontal="center" vertical="center"/>
    </x:xf>
    <x:xf numFmtId="0" fontId="0" fillId="0" borderId="11" xfId="0" applyBorder="1" applyAlignment="1">
      <x:alignment horizontal="center" vertical="center" wrapText="1"/>
    </x:xf>
    <x:xf numFmtId="0" fontId="3" fillId="34" borderId="30" xfId="0" applyNumberFormat="1" applyFont="1" applyFill="1" applyBorder="1" applyAlignment="1" applyProtection="1">
      <x:alignment horizontal="center" vertical="center"/>
    </x:xf>
    <x:xf numFmtId="0" fontId="3" fillId="34" borderId="0" xfId="0" applyNumberFormat="1" applyFont="1" applyFill="1" applyAlignment="1" applyProtection="1">
      <x:alignment horizontal="center" vertical="center"/>
    </x:xf>
    <x:xf numFmtId="0" fontId="0" fillId="1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4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9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0" fillId="1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3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1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1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0" fillId="3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0" fillId="1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5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9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1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0" fillId="1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1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3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2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2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2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4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1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1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0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2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1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4" borderId="1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29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8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1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4" borderId="15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4" borderId="1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4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4" borderId="1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8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0">
    <x:dxf>
      <x:font>
        <x:color rgb="FF00B050"/>
      </x:font>
      <x:fill>
        <x:patternFill patternType="solid">
          <x:fgColor auto="1"/>
          <x:bgColor rgb="FF00B050"/>
        </x:patternFill>
      </x:fill>
    </x:dxf>
    <x:dxf>
      <x:fill>
        <x:patternFill patternType="solid">
          <x:fgColor auto="1"/>
          <x:bgColor theme="0" tint="-0.14996795556505022"/>
        </x:patternFill>
      </x:fill>
    </x:dxf>
    <x:dxf>
      <x:font>
        <x:color theme="1"/>
      </x:font>
      <x:fill>
        <x:patternFill patternType="solid">
          <x:fgColor auto="1"/>
          <x:bgColor theme="4" tint="0.39994506668294322"/>
        </x:patternFill>
      </x:fill>
    </x:dxf>
    <x:dxf>
      <x:font>
        <x:color rgb="FF9C65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  <x:border>
        <x:left style="thin">
          <x:color theme="0" tint="-0.14996795556505022"/>
        </x:left>
        <x:right style="thin">
          <x:color theme="0" tint="-0.14996795556505022"/>
        </x:right>
        <x:top style="thin">
          <x:color theme="0" tint="-0.14996795556505022"/>
        </x:top>
        <x:bottom style="thin">
          <x:color theme="0" tint="-0.14996795556505022"/>
        </x:bottom>
      </x:border>
    </x:dxf>
    <x:dxf>
      <x:font>
        <x:color rgb="FF00B050"/>
      </x:font>
      <x:fill>
        <x:patternFill patternType="solid">
          <x:fgColor auto="1"/>
          <x:bgColor rgb="FF00B050"/>
        </x:patternFill>
      </x:fill>
      <x:border>
        <x:left style="thin">
          <x:color theme="0" tint="-0.14996795556505022"/>
        </x:left>
        <x:right style="thin">
          <x:color theme="0" tint="-0.14996795556505022"/>
        </x:right>
        <x:top style="thin">
          <x:color theme="0" tint="-0.14996795556505022"/>
        </x:top>
        <x:bottom style="thin">
          <x:color theme="0" tint="-0.14996795556505022"/>
        </x:bottom>
      </x:border>
    </x:dxf>
    <x:dxf>
      <x:fill>
        <x:patternFill patternType="solid">
          <x:fgColor auto="1"/>
          <x:bgColor theme="4" tint="0.39994506668294322"/>
        </x:patternFill>
      </x:fill>
    </x:dxf>
    <x:dxf>
      <x:font>
        <x:color rgb="FF9C57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FF5050"/>
      <x:color rgb="FF640013"/>
      <x:color rgb="FFFF7C80"/>
      <x:color rgb="FFFFCCCC"/>
      <x:color rgb="FFA50021"/>
      <x:color rgb="FFCC0000"/>
      <x:color rgb="FFFFFFFF"/>
      <x:color rgb="FFA162D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W52"/>
  <x:sheetViews>
    <x:sheetView topLeftCell="A6" zoomScale="85" zoomScaleNormal="85" workbookViewId="0">
      <x:selection activeCell="M22" sqref="M22 M22:T23"/>
    </x:sheetView>
  </x:sheetViews>
  <x:sheetFormatPr defaultRowHeight="15" x14ac:dyDescent="0.25"/>
  <x:cols>
    <x:col min="1" max="1" width="11.285156" style="0" bestFit="1" customWidth="1"/>
    <x:col min="2" max="2" width="9.710938" style="0" bestFit="1" customWidth="1"/>
    <x:col min="3" max="8" width="9.140625" style="0" customWidth="1"/>
    <x:col min="9" max="9" width="15.285156" style="9" customWidth="1"/>
    <x:col min="10" max="10" width="9.425781" style="4" customWidth="1"/>
    <x:col min="11" max="11" width="13.285156" style="0" customWidth="1"/>
    <x:col min="12" max="12" width="9.140625" style="0" customWidth="1"/>
    <x:col min="13" max="13" width="11" style="0" bestFit="1" customWidth="1"/>
    <x:col min="14" max="21" width="9.140625" style="0" customWidth="1"/>
    <x:col min="22" max="22" width="11" style="0" bestFit="1" customWidth="1"/>
  </x:cols>
  <x:sheetData>
    <x:row r="1" spans="1:23" ht="15.75" customHeight="1" x14ac:dyDescent="0.3">
      <x:c r="A1" s="12" t="s">
        <x:v>0</x:v>
      </x:c>
      <x:c r="B1" s="129" t="s">
        <x:v>1</x:v>
      </x:c>
      <x:c r="C1" s="130"/>
      <x:c r="D1" s="130"/>
      <x:c r="E1" s="130"/>
      <x:c r="F1" s="130"/>
      <x:c r="G1" s="130"/>
      <x:c r="H1" s="131"/>
      <x:c r="I1" s="251" t="s">
        <x:v>2</x:v>
      </x:c>
      <x:c r="J1" s="252"/>
      <x:c r="K1" s="252"/>
      <x:c r="L1" s="5">
        <x:v>6</x:v>
      </x:c>
      <x:c r="M1" s="253" t="s">
        <x:v>3</x:v>
      </x:c>
      <x:c r="N1" s="254"/>
      <x:c r="O1" s="255"/>
      <x:c r="P1" s="255"/>
      <x:c r="Q1" s="255"/>
      <x:c r="R1" s="255"/>
      <x:c r="S1" s="255"/>
      <x:c r="T1" s="256"/>
    </x:row>
    <x:row r="2" spans="1:23" ht="15.75" customHeight="1" x14ac:dyDescent="0.3">
      <x:c r="A2" s="2">
        <x:f>COUNTIF(A3:A999,"*")</x:f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251"/>
      <x:c r="J2" s="252"/>
      <x:c r="K2" s="252"/>
      <x:c r="L2" s="5"/>
      <x:c r="M2" s="253" t="s">
        <x:v>11</x:v>
      </x:c>
      <x:c r="N2" s="254"/>
      <x:c r="O2" s="255"/>
      <x:c r="P2" s="255"/>
      <x:c r="Q2" s="255"/>
      <x:c r="R2" s="255"/>
      <x:c r="S2" s="255"/>
      <x:c r="T2" s="256"/>
    </x:row>
    <x:row r="3" spans="1:23" ht="15.75" customHeight="1" x14ac:dyDescent="0.3">
      <x:c r="A3" s="257" t="s">
        <x:v>3</x:v>
      </x:c>
      <x:c r="B3" s="24"/>
      <x:c r="C3" s="7"/>
      <x:c r="D3" s="7"/>
      <x:c r="E3" s="7"/>
      <x:c r="F3" s="7"/>
      <x:c r="G3" s="7"/>
      <x:c r="H3" s="8"/>
      <x:c r="I3" s="9" t="s">
        <x:v>12</x:v>
      </x:c>
      <x:c r="J3" s="4">
        <x:f>COUNTIF(INDIRECT("M1:M" &amp; MATCH(5, INDIRECT("L1:L" &amp; A2), 0)-1), "*")</x:f>
      </x:c>
      <x:c r="K3" s="3">
        <x:f>(J3/(J14+J12))</x:f>
      </x:c>
      <x:c r="L3" s="5"/>
      <x:c r="M3" s="253" t="s">
        <x:v>13</x:v>
      </x:c>
      <x:c r="N3" s="254"/>
      <x:c r="O3" s="255"/>
      <x:c r="P3" s="255"/>
      <x:c r="Q3" s="255"/>
      <x:c r="R3" s="255"/>
      <x:c r="S3" s="255"/>
      <x:c r="T3" s="256"/>
    </x:row>
    <x:row r="4" spans="1:23" ht="15.75" customHeight="1" x14ac:dyDescent="0.3">
      <x:c r="A4" s="257" t="s">
        <x:v>14</x:v>
      </x:c>
      <x:c r="B4" s="24"/>
      <x:c r="C4" s="7"/>
      <x:c r="D4" s="7"/>
      <x:c r="E4" s="7"/>
      <x:c r="F4" s="7"/>
      <x:c r="G4" s="7"/>
      <x:c r="H4" s="8"/>
      <x:c r="I4" s="9" t="s">
        <x:v>15</x:v>
      </x:c>
      <x:c r="J4" s="4">
        <x:f>COUNTIF(INDIRECT("M" &amp; MATCH(5, INDIRECT("L1:L" &amp; A2), 0) &amp; ":M" &amp; MATCH(4, INDIRECT("L1:L" &amp; A2), 0)-1), "*")</x:f>
      </x:c>
      <x:c r="K4" s="3">
        <x:f>(J4/(J14+J12))</x:f>
      </x:c>
      <x:c r="L4" s="5"/>
      <x:c r="M4" s="253" t="s">
        <x:v>16</x:v>
      </x:c>
      <x:c r="N4" s="254"/>
      <x:c r="O4" s="255"/>
      <x:c r="P4" s="255"/>
      <x:c r="Q4" s="255"/>
      <x:c r="R4" s="255"/>
      <x:c r="S4" s="255"/>
      <x:c r="T4" s="256"/>
    </x:row>
    <x:row r="5" spans="1:23" ht="15.75" customHeight="1" x14ac:dyDescent="0.3">
      <x:c r="A5" s="257" t="s">
        <x:v>17</x:v>
      </x:c>
      <x:c r="B5" s="24"/>
      <x:c r="C5" s="7"/>
      <x:c r="D5" s="7"/>
      <x:c r="E5" s="7"/>
      <x:c r="F5" s="7"/>
      <x:c r="G5" s="7"/>
      <x:c r="H5" s="8"/>
      <x:c r="I5" s="9" t="s">
        <x:v>18</x:v>
      </x:c>
      <x:c r="J5" s="4">
        <x:f>COUNTIF(INDIRECT("M" &amp; MATCH(4, INDIRECT("L1:L" &amp; A2), 0) &amp; ":M" &amp; MATCH(3, INDIRECT("L1:L" &amp; A2), 0)-1), "*")</x:f>
      </x:c>
      <x:c r="K5" s="3">
        <x:f>(J5/(J14+J12))</x:f>
      </x:c>
      <x:c r="L5" s="5"/>
      <x:c r="M5" s="253" t="s">
        <x:v>19</x:v>
      </x:c>
      <x:c r="N5" s="254"/>
      <x:c r="O5" s="255"/>
      <x:c r="P5" s="255"/>
      <x:c r="Q5" s="255"/>
      <x:c r="R5" s="255"/>
      <x:c r="S5" s="255"/>
      <x:c r="T5" s="256"/>
    </x:row>
    <x:row r="6" spans="1:23" ht="15.75" customHeight="1" x14ac:dyDescent="0.3">
      <x:c r="A6" s="257" t="s">
        <x:v>20</x:v>
      </x:c>
      <x:c r="B6" s="24"/>
      <x:c r="C6" s="7"/>
      <x:c r="D6" s="7"/>
      <x:c r="E6" s="7"/>
      <x:c r="F6" s="7"/>
      <x:c r="G6" s="7"/>
      <x:c r="H6" s="8"/>
      <x:c r="I6" s="9" t="s">
        <x:v>21</x:v>
      </x:c>
      <x:c r="J6" s="4">
        <x:f>COUNTIF(INDIRECT("M" &amp; MATCH(3, INDIRECT("L1:L" &amp; A2), 0) &amp; ":M" &amp; MATCH(2, INDIRECT("L1:L" &amp; A2), 0)-1), "*")</x:f>
      </x:c>
      <x:c r="K6" s="3">
        <x:f>(J6/(J14+J12))</x:f>
      </x:c>
      <x:c r="L6" s="5"/>
      <x:c r="M6" s="253" t="s">
        <x:v>17</x:v>
      </x:c>
      <x:c r="N6" s="254"/>
      <x:c r="O6" s="255"/>
      <x:c r="P6" s="255"/>
      <x:c r="Q6" s="255"/>
      <x:c r="R6" s="255"/>
      <x:c r="S6" s="255"/>
      <x:c r="T6" s="256"/>
    </x:row>
    <x:row r="7" spans="1:23" ht="15.75" customHeight="1" x14ac:dyDescent="0.3">
      <x:c r="A7" s="257" t="s">
        <x:v>22</x:v>
      </x:c>
      <x:c r="B7" s="24"/>
      <x:c r="C7" s="7"/>
      <x:c r="D7" s="7"/>
      <x:c r="E7" s="7"/>
      <x:c r="F7" s="7"/>
      <x:c r="G7" s="7"/>
      <x:c r="H7" s="8"/>
      <x:c r="I7" s="9" t="s">
        <x:v>23</x:v>
      </x:c>
      <x:c r="J7" s="4">
        <x:f>COUNTIF(INDIRECT("M" &amp; MATCH(2, INDIRECT("L1:L" &amp; A2), 0) &amp; ":M" &amp; MATCH(1, INDIRECT("L1:L" &amp; A2), 0)-1), "*")</x:f>
      </x:c>
      <x:c r="K7" s="3">
        <x:f>(J7/(J14+J12))</x:f>
      </x:c>
      <x:c r="L7" s="5"/>
      <x:c r="M7" s="253" t="s">
        <x:v>24</x:v>
      </x:c>
      <x:c r="N7" s="254"/>
      <x:c r="O7" s="255"/>
      <x:c r="P7" s="255"/>
      <x:c r="Q7" s="255"/>
      <x:c r="R7" s="255"/>
      <x:c r="S7" s="255"/>
      <x:c r="T7" s="256"/>
    </x:row>
    <x:row r="8" spans="1:23" ht="15.75" customHeight="1" x14ac:dyDescent="0.3">
      <x:c r="A8" s="257" t="s">
        <x:v>25</x:v>
      </x:c>
      <x:c r="B8" s="24"/>
      <x:c r="C8" s="7"/>
      <x:c r="D8" s="7"/>
      <x:c r="E8" s="7"/>
      <x:c r="F8" s="7"/>
      <x:c r="G8" s="7"/>
      <x:c r="H8" s="8"/>
      <x:c r="I8" s="9" t="s">
        <x:v>26</x:v>
      </x:c>
      <x:c r="J8" s="4">
        <x:f>COUNTIF(INDIRECT("M" &amp; MATCH(1, INDIRECT("L1:L" &amp; A2), 0) &amp; ":M" &amp; MATCH(0, INDIRECT("L1:L" &amp; A2), 0)-1), "*")</x:f>
      </x:c>
      <x:c r="K8" s="3">
        <x:f>(J8/(J14+J12))</x:f>
      </x:c>
      <x:c r="L8" s="5"/>
      <x:c r="M8" s="253" t="s">
        <x:v>25</x:v>
      </x:c>
      <x:c r="N8" s="254"/>
      <x:c r="O8" s="255"/>
      <x:c r="P8" s="255"/>
      <x:c r="Q8" s="255"/>
      <x:c r="R8" s="255"/>
      <x:c r="S8" s="255"/>
      <x:c r="T8" s="256"/>
    </x:row>
    <x:row r="9" spans="1:23" ht="15.75" customHeight="1" x14ac:dyDescent="0.3">
      <x:c r="A9" s="257" t="s">
        <x:v>27</x:v>
      </x:c>
      <x:c r="B9" s="24"/>
      <x:c r="C9" s="7"/>
      <x:c r="D9" s="7"/>
      <x:c r="E9" s="7"/>
      <x:c r="F9" s="7"/>
      <x:c r="G9" s="7"/>
      <x:c r="H9" s="8"/>
      <x:c r="I9" s="9" t="s">
        <x:v>4</x:v>
      </x:c>
      <x:c r="J9" s="4">
        <x:f>COUNTIF(INDIRECT("M" &amp; MATCH(0, INDIRECT("L1:L" &amp; A2), 0) &amp; ":M" &amp; MATCH("-", INDIRECT("L1:L" &amp; A2), 0)-1), "*")</x:f>
      </x:c>
      <x:c r="K9" s="3">
        <x:f>(J9/(J14+J12))</x:f>
      </x:c>
      <x:c r="L9" s="5"/>
      <x:c r="M9" s="253" t="s">
        <x:v>20</x:v>
      </x:c>
      <x:c r="N9" s="254"/>
      <x:c r="O9" s="255"/>
      <x:c r="P9" s="255"/>
      <x:c r="Q9" s="255"/>
      <x:c r="R9" s="255"/>
      <x:c r="S9" s="255"/>
      <x:c r="T9" s="256"/>
    </x:row>
    <x:row r="10" spans="1:23" ht="15.75" customHeight="1" x14ac:dyDescent="0.3">
      <x:c r="A10" s="257" t="s">
        <x:v>11</x:v>
      </x:c>
      <x:c r="B10" s="24"/>
      <x:c r="C10" s="7"/>
      <x:c r="D10" s="7"/>
      <x:c r="E10" s="7"/>
      <x:c r="F10" s="7"/>
      <x:c r="G10" s="7"/>
      <x:c r="H10" s="8"/>
      <x:c r="I10" s="9" t="s">
        <x:v>28</x:v>
      </x:c>
      <x:c r="J10" s="4">
        <x:f>COUNTIF(INDIRECT("N1:N" &amp; A2), "НЕТ ПЕРСОНАЖА")</x:f>
      </x:c>
      <x:c r="K10" s="3">
        <x:f>(J10/(J14+J12))</x:f>
      </x:c>
      <x:c r="L10" s="5"/>
      <x:c r="M10" s="253" t="s">
        <x:v>29</x:v>
      </x:c>
      <x:c r="N10" s="254"/>
      <x:c r="O10" s="255"/>
      <x:c r="P10" s="255"/>
      <x:c r="Q10" s="255"/>
      <x:c r="R10" s="255"/>
      <x:c r="S10" s="255"/>
      <x:c r="T10" s="256"/>
    </x:row>
    <x:row r="11" spans="1:23" ht="15.75" customHeight="1" x14ac:dyDescent="0.3">
      <x:c r="A11" s="257" t="s">
        <x:v>16</x:v>
      </x:c>
      <x:c r="B11" s="24"/>
      <x:c r="C11" s="7"/>
      <x:c r="D11" s="7"/>
      <x:c r="E11" s="7"/>
      <x:c r="F11" s="7"/>
      <x:c r="G11" s="7"/>
      <x:c r="H11" s="8"/>
      <x:c r="I11" s="251" t="s">
        <x:v>30</x:v>
      </x:c>
      <x:c r="J11" s="252"/>
      <x:c r="K11" s="252"/>
      <x:c r="L11" s="5"/>
      <x:c r="M11" s="253" t="s">
        <x:v>31</x:v>
      </x:c>
      <x:c r="N11" s="254"/>
      <x:c r="O11" s="255"/>
      <x:c r="P11" s="255"/>
      <x:c r="Q11" s="255"/>
      <x:c r="R11" s="255"/>
      <x:c r="S11" s="255"/>
      <x:c r="T11" s="256"/>
    </x:row>
    <x:row r="12" spans="1:23" ht="15.75" customHeight="1" x14ac:dyDescent="0.3">
      <x:c r="A12" s="257" t="s">
        <x:v>31</x:v>
      </x:c>
      <x:c r="B12" s="24"/>
      <x:c r="C12" s="7"/>
      <x:c r="D12" s="7"/>
      <x:c r="E12" s="7"/>
      <x:c r="F12" s="7"/>
      <x:c r="G12" s="7"/>
      <x:c r="H12" s="8"/>
      <x:c r="I12" s="135" t="s">
        <x:v>32</x:v>
      </x:c>
      <x:c r="J12" s="4">
        <x:f>J3</x:f>
      </x:c>
      <x:c r="K12" s="3">
        <x:f>(J12/(J14+J12))</x:f>
      </x:c>
      <x:c r="L12" s="5"/>
      <x:c r="M12" s="253" t="s">
        <x:v>33</x:v>
      </x:c>
      <x:c r="N12" s="254"/>
      <x:c r="O12" s="255"/>
      <x:c r="P12" s="255"/>
      <x:c r="Q12" s="255"/>
      <x:c r="R12" s="255"/>
      <x:c r="S12" s="255"/>
      <x:c r="T12" s="256"/>
      <x:c r="W12" s="11"/>
    </x:row>
    <x:row r="13" spans="1:23" ht="15.75" customHeight="1" x14ac:dyDescent="0.3">
      <x:c r="A13" s="257" t="s">
        <x:v>34</x:v>
      </x:c>
      <x:c r="B13" s="24"/>
      <x:c r="C13" s="7"/>
      <x:c r="D13" s="7"/>
      <x:c r="E13" s="7"/>
      <x:c r="F13" s="7"/>
      <x:c r="G13" s="7"/>
      <x:c r="H13" s="8"/>
      <x:c r="I13" s="135"/>
      <x:c r="J13" s="4"/>
      <x:c r="K13" s="3"/>
      <x:c r="L13" s="5"/>
      <x:c r="M13" s="253" t="s">
        <x:v>35</x:v>
      </x:c>
      <x:c r="N13" s="254"/>
      <x:c r="O13" s="255"/>
      <x:c r="P13" s="255"/>
      <x:c r="Q13" s="255"/>
      <x:c r="R13" s="255"/>
      <x:c r="S13" s="255"/>
      <x:c r="T13" s="256"/>
    </x:row>
    <x:row r="14" spans="1:23" ht="15.75" customHeight="1" x14ac:dyDescent="0.3">
      <x:c r="A14" s="257" t="s">
        <x:v>19</x:v>
      </x:c>
      <x:c r="B14" s="24"/>
      <x:c r="C14" s="7"/>
      <x:c r="D14" s="7"/>
      <x:c r="E14" s="7"/>
      <x:c r="F14" s="7"/>
      <x:c r="G14" s="7"/>
      <x:c r="H14" s="8"/>
      <x:c r="I14" s="135" t="s">
        <x:v>36</x:v>
      </x:c>
      <x:c r="J14" s="4">
        <x:f>A2-J3</x:f>
      </x:c>
      <x:c r="K14" s="3">
        <x:f>(J14/(J14+J12))</x:f>
      </x:c>
      <x:c r="L14" s="5"/>
      <x:c r="M14" s="253" t="s">
        <x:v>37</x:v>
      </x:c>
      <x:c r="N14" s="254"/>
      <x:c r="O14" s="255"/>
      <x:c r="P14" s="255"/>
      <x:c r="Q14" s="255"/>
      <x:c r="R14" s="255"/>
      <x:c r="S14" s="255"/>
      <x:c r="T14" s="256"/>
    </x:row>
    <x:row r="15" spans="1:23" ht="15.75" customHeight="1" x14ac:dyDescent="0.3">
      <x:c r="A15" s="257" t="s">
        <x:v>29</x:v>
      </x:c>
      <x:c r="B15" s="24"/>
      <x:c r="C15" s="7"/>
      <x:c r="D15" s="7"/>
      <x:c r="E15" s="7"/>
      <x:c r="F15" s="7"/>
      <x:c r="G15" s="7"/>
      <x:c r="H15" s="8"/>
      <x:c r="I15" s="135"/>
      <x:c r="J15" s="4"/>
      <x:c r="K15" s="3"/>
      <x:c r="L15" s="5"/>
      <x:c r="M15" s="253" t="s">
        <x:v>38</x:v>
      </x:c>
      <x:c r="N15" s="254"/>
      <x:c r="O15" s="255"/>
      <x:c r="P15" s="255"/>
      <x:c r="Q15" s="255"/>
      <x:c r="R15" s="255"/>
      <x:c r="S15" s="255"/>
      <x:c r="T15" s="256"/>
    </x:row>
    <x:row r="16" spans="1:23" ht="15.75" customHeight="1" x14ac:dyDescent="0.3">
      <x:c r="A16" s="257" t="s">
        <x:v>13</x:v>
      </x:c>
      <x:c r="B16" s="24"/>
      <x:c r="C16" s="7"/>
      <x:c r="D16" s="7"/>
      <x:c r="E16" s="7"/>
      <x:c r="F16" s="7"/>
      <x:c r="G16" s="7"/>
      <x:c r="H16" s="8"/>
      <x:c r="I16" s="251"/>
      <x:c r="J16" s="252" t="s">
        <x:v>39</x:v>
      </x:c>
      <x:c r="K16" s="258" t="s">
        <x:v>40</x:v>
      </x:c>
      <x:c r="L16" s="5"/>
      <x:c r="M16" s="253" t="s">
        <x:v>41</x:v>
      </x:c>
      <x:c r="N16" s="254"/>
      <x:c r="O16" s="255"/>
      <x:c r="P16" s="255"/>
      <x:c r="Q16" s="255"/>
      <x:c r="R16" s="255"/>
      <x:c r="S16" s="255"/>
      <x:c r="T16" s="256"/>
    </x:row>
    <x:row r="17" spans="1:23" ht="15.75" customHeight="1" x14ac:dyDescent="0.3">
      <x:c r="A17" s="257" t="s">
        <x:v>24</x:v>
      </x:c>
      <x:c r="B17" s="24"/>
      <x:c r="C17" s="7"/>
      <x:c r="D17" s="7"/>
      <x:c r="E17" s="7"/>
      <x:c r="F17" s="7"/>
      <x:c r="G17" s="7"/>
      <x:c r="H17" s="8"/>
      <x:c r="I17" s="251"/>
      <x:c r="J17" s="252"/>
      <x:c r="K17" s="258"/>
      <x:c r="L17" s="5"/>
      <x:c r="M17" s="253" t="s">
        <x:v>42</x:v>
      </x:c>
      <x:c r="N17" s="254"/>
      <x:c r="O17" s="255"/>
      <x:c r="P17" s="255"/>
      <x:c r="Q17" s="255"/>
      <x:c r="R17" s="255"/>
      <x:c r="S17" s="255"/>
      <x:c r="T17" s="256"/>
      <x:c r="W17" s="11"/>
    </x:row>
    <x:row r="18" spans="1:23" ht="15.75" customHeight="1" x14ac:dyDescent="0.3">
      <x:c r="A18" s="257" t="s">
        <x:v>35</x:v>
      </x:c>
      <x:c r="B18" s="24"/>
      <x:c r="C18" s="7"/>
      <x:c r="D18" s="7"/>
      <x:c r="E18" s="7"/>
      <x:c r="F18" s="7"/>
      <x:c r="G18" s="7"/>
      <x:c r="H18" s="8"/>
      <x:c r="I18" s="251"/>
      <x:c r="J18" s="252"/>
      <x:c r="K18" s="258"/>
      <x:c r="L18" s="5"/>
      <x:c r="M18" s="253" t="s">
        <x:v>43</x:v>
      </x:c>
      <x:c r="N18" s="254"/>
      <x:c r="O18" s="255"/>
      <x:c r="P18" s="255"/>
      <x:c r="Q18" s="255"/>
      <x:c r="R18" s="255"/>
      <x:c r="S18" s="255"/>
      <x:c r="T18" s="256"/>
    </x:row>
    <x:row r="19" spans="1:23" ht="15.75" customHeight="1" x14ac:dyDescent="0.3">
      <x:c r="A19" s="257" t="s">
        <x:v>44</x:v>
      </x:c>
      <x:c r="B19" s="24"/>
      <x:c r="C19" s="7"/>
      <x:c r="D19" s="7"/>
      <x:c r="E19" s="7"/>
      <x:c r="F19" s="7"/>
      <x:c r="G19" s="7"/>
      <x:c r="H19" s="8"/>
      <x:c r="I19" s="135" t="s">
        <x:v>45</x:v>
      </x:c>
      <x:c r="J19" s="139">
        <x:f>(80/7.7)*K19</x:f>
      </x:c>
      <x:c r="K19" s="140">
        <x:f>(0.5*0/3)+(0.25*($J$3)/($A$2-3))</x:f>
      </x:c>
      <x:c r="L19" s="5"/>
      <x:c r="M19" s="253" t="s">
        <x:v>46</x:v>
      </x:c>
      <x:c r="N19" s="254"/>
      <x:c r="O19" s="255"/>
      <x:c r="P19" s="255"/>
      <x:c r="Q19" s="255"/>
      <x:c r="R19" s="255"/>
      <x:c r="S19" s="255"/>
      <x:c r="T19" s="256"/>
    </x:row>
    <x:row r="20" spans="1:23" ht="15.75" customHeight="1" x14ac:dyDescent="0.3">
      <x:c r="A20" s="257" t="s">
        <x:v>33</x:v>
      </x:c>
      <x:c r="B20" s="24"/>
      <x:c r="C20" s="7"/>
      <x:c r="D20" s="7"/>
      <x:c r="E20" s="7"/>
      <x:c r="F20" s="7"/>
      <x:c r="G20" s="7"/>
      <x:c r="H20" s="7"/>
      <x:c r="I20" s="135"/>
      <x:c r="J20" s="139"/>
      <x:c r="K20" s="140"/>
      <x:c r="L20" s="5"/>
      <x:c r="M20" s="253" t="s">
        <x:v>47</x:v>
      </x:c>
      <x:c r="N20" s="254"/>
      <x:c r="O20" s="255"/>
      <x:c r="P20" s="255"/>
      <x:c r="Q20" s="255"/>
      <x:c r="R20" s="255"/>
      <x:c r="S20" s="255"/>
      <x:c r="T20" s="256"/>
    </x:row>
    <x:row r="21" spans="1:23" ht="15.75" customHeight="1" x14ac:dyDescent="0.3">
      <x:c r="A21" s="257" t="s">
        <x:v>48</x:v>
      </x:c>
      <x:c r="B21" s="24"/>
      <x:c r="C21" s="7"/>
      <x:c r="D21" s="7"/>
      <x:c r="E21" s="7"/>
      <x:c r="F21" s="7"/>
      <x:c r="G21" s="7"/>
      <x:c r="H21" s="8"/>
      <x:c r="I21" s="135"/>
      <x:c r="J21" s="139"/>
      <x:c r="K21" s="140"/>
      <x:c r="L21" s="5"/>
      <x:c r="M21" s="253" t="s">
        <x:v>49</x:v>
      </x:c>
      <x:c r="N21" s="254"/>
      <x:c r="O21" s="255"/>
      <x:c r="P21" s="255"/>
      <x:c r="Q21" s="255"/>
      <x:c r="R21" s="255"/>
      <x:c r="S21" s="255"/>
      <x:c r="T21" s="256"/>
      <x:c r="W21" s="11"/>
    </x:row>
    <x:row r="22" spans="1:23" ht="15.75" customHeight="1" x14ac:dyDescent="0.3">
      <x:c r="A22" s="257" t="s">
        <x:v>37</x:v>
      </x:c>
      <x:c r="B22" s="24"/>
      <x:c r="C22" s="7"/>
      <x:c r="D22" s="7"/>
      <x:c r="E22" s="7"/>
      <x:c r="F22" s="7"/>
      <x:c r="G22" s="7"/>
      <x:c r="H22" s="8"/>
      <x:c r="I22" s="135"/>
      <x:c r="J22" s="139"/>
      <x:c r="K22" s="140"/>
      <x:c r="L22" s="5">
        <x:v>5</x:v>
      </x:c>
      <x:c r="M22" s="259" t="s">
        <x:v>50</x:v>
      </x:c>
      <x:c r="N22" s="260"/>
      <x:c r="O22" s="261"/>
      <x:c r="P22" s="261"/>
      <x:c r="Q22" s="261"/>
      <x:c r="R22" s="261"/>
      <x:c r="S22" s="261"/>
      <x:c r="T22" s="8"/>
    </x:row>
    <x:row r="23" spans="1:23" ht="15.75" customHeight="1" x14ac:dyDescent="0.3">
      <x:c r="A23" s="257" t="s">
        <x:v>51</x:v>
      </x:c>
      <x:c r="B23" s="24"/>
      <x:c r="C23" s="7"/>
      <x:c r="D23" s="7"/>
      <x:c r="E23" s="7"/>
      <x:c r="F23" s="7"/>
      <x:c r="G23" s="7"/>
      <x:c r="H23" s="8"/>
      <x:c r="I23" s="135"/>
      <x:c r="J23" s="139"/>
      <x:c r="K23" s="140"/>
      <x:c r="L23" s="5"/>
      <x:c r="M23" s="259" t="s">
        <x:v>52</x:v>
      </x:c>
      <x:c r="N23" s="260"/>
      <x:c r="O23" s="261"/>
      <x:c r="P23" s="261"/>
      <x:c r="Q23" s="261"/>
      <x:c r="R23" s="261"/>
      <x:c r="S23" s="261"/>
      <x:c r="T23" s="8"/>
      <x:c r="U23" s="10"/>
    </x:row>
    <x:row r="24" spans="1:23" ht="15.75" customHeight="1" x14ac:dyDescent="0.25">
      <x:c r="A24" s="257" t="s">
        <x:v>53</x:v>
      </x:c>
      <x:c r="B24" s="24"/>
      <x:c r="C24" s="7"/>
      <x:c r="D24" s="7"/>
      <x:c r="E24" s="7"/>
      <x:c r="F24" s="7"/>
      <x:c r="G24" s="7"/>
      <x:c r="H24" s="8"/>
      <x:c r="I24" s="135"/>
      <x:c r="J24" s="139"/>
      <x:c r="K24" s="140"/>
      <x:c r="L24" s="5"/>
      <x:c r="M24" s="259" t="s">
        <x:v>22</x:v>
      </x:c>
      <x:c r="N24" s="260"/>
      <x:c r="O24" s="261"/>
      <x:c r="P24" s="261"/>
      <x:c r="Q24" s="261"/>
      <x:c r="R24" s="261"/>
      <x:c r="S24" s="261"/>
      <x:c r="T24" s="8"/>
    </x:row>
    <x:row r="25" spans="1:23" ht="15.75" customHeight="1" x14ac:dyDescent="0.3">
      <x:c r="A25" s="257" t="s">
        <x:v>41</x:v>
      </x:c>
      <x:c r="B25" s="24"/>
      <x:c r="C25" s="7"/>
      <x:c r="D25" s="7"/>
      <x:c r="E25" s="7"/>
      <x:c r="F25" s="7"/>
      <x:c r="G25" s="7"/>
      <x:c r="H25" s="8"/>
      <x:c r="I25" s="135" t="s">
        <x:v>54</x:v>
      </x:c>
      <x:c r="J25" s="139">
        <x:f>(80/7.7)*K25</x:f>
      </x:c>
      <x:c r="K25" s="140">
        <x:f>(0.5*1/3)+(0.25*($J$3-1)/($A$2-3))</x:f>
      </x:c>
      <x:c r="L25" s="5">
        <x:v>4</x:v>
      </x:c>
      <x:c r="M25" s="262" t="s">
        <x:v>48</x:v>
      </x:c>
      <x:c r="N25" s="260"/>
      <x:c r="O25" s="261"/>
      <x:c r="P25" s="261"/>
      <x:c r="Q25" s="261"/>
      <x:c r="R25" s="261"/>
      <x:c r="S25" s="7"/>
      <x:c r="T25" s="8"/>
      <x:c r="U25" s="10"/>
    </x:row>
    <x:row r="26" spans="1:23" ht="15.75" customHeight="1" x14ac:dyDescent="0.3">
      <x:c r="A26" s="257" t="s">
        <x:v>52</x:v>
      </x:c>
      <x:c r="B26" s="24"/>
      <x:c r="C26" s="7"/>
      <x:c r="D26" s="7"/>
      <x:c r="E26" s="7"/>
      <x:c r="F26" s="7"/>
      <x:c r="G26" s="7"/>
      <x:c r="H26" s="8"/>
      <x:c r="I26" s="135"/>
      <x:c r="J26" s="139"/>
      <x:c r="K26" s="140"/>
      <x:c r="L26" s="5"/>
      <x:c r="M26" s="262" t="s">
        <x:v>14</x:v>
      </x:c>
      <x:c r="N26" s="260"/>
      <x:c r="O26" s="261"/>
      <x:c r="P26" s="261"/>
      <x:c r="Q26" s="261"/>
      <x:c r="R26" s="261"/>
      <x:c r="S26" s="7"/>
      <x:c r="T26" s="8"/>
    </x:row>
    <x:row r="27" spans="1:23" ht="15.75" customHeight="1" x14ac:dyDescent="0.3">
      <x:c r="A27" s="257" t="s">
        <x:v>42</x:v>
      </x:c>
      <x:c r="B27" s="24"/>
      <x:c r="C27" s="7"/>
      <x:c r="D27" s="7"/>
      <x:c r="E27" s="7"/>
      <x:c r="F27" s="7"/>
      <x:c r="G27" s="7"/>
      <x:c r="H27" s="8"/>
      <x:c r="I27" s="135"/>
      <x:c r="J27" s="139"/>
      <x:c r="K27" s="140"/>
      <x:c r="L27" s="5"/>
      <x:c r="M27" s="262" t="s">
        <x:v>44</x:v>
      </x:c>
      <x:c r="N27" s="260"/>
      <x:c r="O27" s="261"/>
      <x:c r="P27" s="261"/>
      <x:c r="Q27" s="261"/>
      <x:c r="R27" s="261"/>
      <x:c r="S27" s="7"/>
      <x:c r="T27" s="8"/>
      <x:c r="U27" s="10"/>
    </x:row>
    <x:row r="28" spans="1:23" ht="15.75" customHeight="1" x14ac:dyDescent="0.3">
      <x:c r="A28" s="257" t="s">
        <x:v>55</x:v>
      </x:c>
      <x:c r="B28" s="24"/>
      <x:c r="C28" s="7"/>
      <x:c r="D28" s="7"/>
      <x:c r="E28" s="7"/>
      <x:c r="F28" s="7"/>
      <x:c r="G28" s="7"/>
      <x:c r="H28" s="8"/>
      <x:c r="I28" s="135"/>
      <x:c r="J28" s="139"/>
      <x:c r="K28" s="140"/>
      <x:c r="L28" s="5"/>
      <x:c r="M28" s="262" t="s">
        <x:v>51</x:v>
      </x:c>
      <x:c r="N28" s="260"/>
      <x:c r="O28" s="261"/>
      <x:c r="P28" s="261"/>
      <x:c r="Q28" s="261"/>
      <x:c r="R28" s="261"/>
      <x:c r="S28" s="7"/>
      <x:c r="T28" s="8"/>
    </x:row>
    <x:row r="29" spans="1:23" ht="15.75" customHeight="1" x14ac:dyDescent="0.25">
      <x:c r="A29" s="257" t="s">
        <x:v>56</x:v>
      </x:c>
      <x:c r="B29" s="24"/>
      <x:c r="C29" s="7"/>
      <x:c r="D29" s="7"/>
      <x:c r="E29" s="7"/>
      <x:c r="F29" s="7"/>
      <x:c r="G29" s="7"/>
      <x:c r="H29" s="8"/>
      <x:c r="I29" s="135"/>
      <x:c r="J29" s="139"/>
      <x:c r="K29" s="140"/>
      <x:c r="L29" s="5"/>
      <x:c r="M29" s="262" t="s">
        <x:v>57</x:v>
      </x:c>
      <x:c r="N29" s="260"/>
      <x:c r="O29" s="261"/>
      <x:c r="P29" s="261"/>
      <x:c r="Q29" s="261"/>
      <x:c r="R29" s="261"/>
      <x:c r="S29" s="7"/>
      <x:c r="T29" s="8"/>
      <x:c r="U29" s="10"/>
    </x:row>
    <x:row r="30" spans="1:23" ht="15.75" customHeight="1" x14ac:dyDescent="0.25">
      <x:c r="A30" s="257" t="s">
        <x:v>58</x:v>
      </x:c>
      <x:c r="B30" s="24"/>
      <x:c r="C30" s="7"/>
      <x:c r="D30" s="7"/>
      <x:c r="E30" s="7"/>
      <x:c r="F30" s="7"/>
      <x:c r="G30" s="7"/>
      <x:c r="H30" s="8"/>
      <x:c r="I30" s="135"/>
      <x:c r="J30" s="139"/>
      <x:c r="K30" s="140"/>
      <x:c r="L30" s="5"/>
      <x:c r="M30" s="262" t="s">
        <x:v>27</x:v>
      </x:c>
      <x:c r="N30" s="260"/>
      <x:c r="O30" s="261"/>
      <x:c r="P30" s="261"/>
      <x:c r="Q30" s="261"/>
      <x:c r="R30" s="261"/>
      <x:c r="S30" s="7"/>
      <x:c r="T30" s="8"/>
    </x:row>
    <x:row r="31" spans="1:23" ht="15.75" customHeight="1" x14ac:dyDescent="0.25">
      <x:c r="A31" s="257" t="s">
        <x:v>59</x:v>
      </x:c>
      <x:c r="B31" s="24"/>
      <x:c r="C31" s="7"/>
      <x:c r="D31" s="7"/>
      <x:c r="E31" s="7"/>
      <x:c r="F31" s="7"/>
      <x:c r="G31" s="7"/>
      <x:c r="H31" s="8"/>
      <x:c r="I31" s="135" t="s">
        <x:v>60</x:v>
      </x:c>
      <x:c r="J31" s="139">
        <x:f>(80/7.7)*K31</x:f>
      </x:c>
      <x:c r="K31" s="140">
        <x:f>(0.5*2/3)+(0.25*($J$3-2)/($A$2-3))</x:f>
      </x:c>
      <x:c r="L31" s="5"/>
      <x:c r="M31" s="262" t="s">
        <x:v>61</x:v>
      </x:c>
      <x:c r="N31" s="260"/>
      <x:c r="O31" s="261"/>
      <x:c r="P31" s="261"/>
      <x:c r="Q31" s="261"/>
      <x:c r="R31" s="261"/>
      <x:c r="S31" s="7"/>
      <x:c r="T31" s="8"/>
      <x:c r="U31" s="10"/>
    </x:row>
    <x:row r="32" spans="1:23" ht="15.75" customHeight="1" x14ac:dyDescent="0.25">
      <x:c r="A32" s="257" t="s">
        <x:v>57</x:v>
      </x:c>
      <x:c r="B32" s="24"/>
      <x:c r="C32" s="7"/>
      <x:c r="D32" s="7"/>
      <x:c r="E32" s="7"/>
      <x:c r="F32" s="7"/>
      <x:c r="G32" s="7"/>
      <x:c r="H32" s="8"/>
      <x:c r="I32" s="135"/>
      <x:c r="J32" s="139"/>
      <x:c r="K32" s="140"/>
      <x:c r="L32" s="5">
        <x:v>3</x:v>
      </x:c>
      <x:c r="M32" s="263" t="s">
        <x:v>62</x:v>
      </x:c>
      <x:c r="N32" s="260"/>
      <x:c r="O32" s="261"/>
      <x:c r="P32" s="261"/>
      <x:c r="Q32" s="261"/>
      <x:c r="R32" s="7"/>
      <x:c r="S32" s="7"/>
      <x:c r="T32" s="8"/>
    </x:row>
    <x:row r="33" spans="1:23" ht="15.75" customHeight="1" x14ac:dyDescent="0.25">
      <x:c r="A33" s="257" t="s">
        <x:v>63</x:v>
      </x:c>
      <x:c r="B33" s="24"/>
      <x:c r="C33" s="7"/>
      <x:c r="D33" s="7"/>
      <x:c r="E33" s="7"/>
      <x:c r="F33" s="7"/>
      <x:c r="G33" s="7"/>
      <x:c r="H33" s="8"/>
      <x:c r="I33" s="135"/>
      <x:c r="J33" s="139"/>
      <x:c r="K33" s="140"/>
      <x:c r="L33" s="5"/>
      <x:c r="M33" s="263" t="s">
        <x:v>55</x:v>
      </x:c>
      <x:c r="N33" s="260"/>
      <x:c r="O33" s="261"/>
      <x:c r="P33" s="261"/>
      <x:c r="Q33" s="261"/>
      <x:c r="R33" s="7"/>
      <x:c r="S33" s="7"/>
      <x:c r="T33" s="8"/>
      <x:c r="U33" s="10"/>
    </x:row>
    <x:row r="34" spans="1:23" ht="15.75" customHeight="1" x14ac:dyDescent="0.25">
      <x:c r="A34" s="257" t="s">
        <x:v>62</x:v>
      </x:c>
      <x:c r="B34" s="24"/>
      <x:c r="C34" s="7"/>
      <x:c r="D34" s="7"/>
      <x:c r="E34" s="7"/>
      <x:c r="F34" s="7"/>
      <x:c r="G34" s="7"/>
      <x:c r="H34" s="8"/>
      <x:c r="I34" s="135"/>
      <x:c r="J34" s="139"/>
      <x:c r="K34" s="140"/>
      <x:c r="L34" s="5"/>
      <x:c r="M34" s="263" t="s">
        <x:v>34</x:v>
      </x:c>
      <x:c r="N34" s="260"/>
      <x:c r="O34" s="261"/>
      <x:c r="P34" s="261"/>
      <x:c r="Q34" s="261"/>
      <x:c r="R34" s="7"/>
      <x:c r="S34" s="7"/>
      <x:c r="T34" s="8"/>
    </x:row>
    <x:row r="35" spans="1:23" ht="15.75" customHeight="1" x14ac:dyDescent="0.25">
      <x:c r="A35" s="257" t="s">
        <x:v>64</x:v>
      </x:c>
      <x:c r="B35" s="24"/>
      <x:c r="C35" s="7"/>
      <x:c r="D35" s="7"/>
      <x:c r="E35" s="7"/>
      <x:c r="F35" s="7"/>
      <x:c r="G35" s="7"/>
      <x:c r="H35" s="8"/>
      <x:c r="I35" s="135"/>
      <x:c r="J35" s="139"/>
      <x:c r="K35" s="140"/>
      <x:c r="L35" s="5">
        <x:v>2</x:v>
      </x:c>
      <x:c r="M35" s="264" t="s">
        <x:v>53</x:v>
      </x:c>
      <x:c r="N35" s="260"/>
      <x:c r="O35" s="261"/>
      <x:c r="P35" s="261"/>
      <x:c r="Q35" s="7"/>
      <x:c r="R35" s="7"/>
      <x:c r="S35" s="7"/>
      <x:c r="T35" s="8"/>
      <x:c r="U35" s="10"/>
    </x:row>
    <x:row r="36" spans="1:23" ht="15.75" customHeight="1" x14ac:dyDescent="0.25">
      <x:c r="A36" s="257" t="s">
        <x:v>61</x:v>
      </x:c>
      <x:c r="B36" s="24"/>
      <x:c r="C36" s="7"/>
      <x:c r="D36" s="7"/>
      <x:c r="E36" s="7"/>
      <x:c r="F36" s="7"/>
      <x:c r="G36" s="7"/>
      <x:c r="H36" s="8"/>
      <x:c r="I36" s="135"/>
      <x:c r="J36" s="139"/>
      <x:c r="K36" s="140"/>
      <x:c r="L36" s="5"/>
      <x:c r="M36" s="264" t="s">
        <x:v>56</x:v>
      </x:c>
      <x:c r="N36" s="260"/>
      <x:c r="O36" s="261"/>
      <x:c r="P36" s="261"/>
      <x:c r="Q36" s="7"/>
      <x:c r="R36" s="7"/>
      <x:c r="S36" s="7"/>
      <x:c r="T36" s="8"/>
    </x:row>
    <x:row r="37" spans="1:23" ht="15.75" customHeight="1" x14ac:dyDescent="0.25">
      <x:c r="A37" s="257" t="s">
        <x:v>50</x:v>
      </x:c>
      <x:c r="B37" s="24"/>
      <x:c r="C37" s="7"/>
      <x:c r="D37" s="7"/>
      <x:c r="E37" s="7"/>
      <x:c r="F37" s="7"/>
      <x:c r="G37" s="7"/>
      <x:c r="H37" s="8"/>
      <x:c r="I37" s="135" t="s">
        <x:v>65</x:v>
      </x:c>
      <x:c r="J37" s="139">
        <x:f>(80/7.7)*K37</x:f>
      </x:c>
      <x:c r="K37" s="140">
        <x:f>(0.5*3/3)+(0.25*($J$3-3)/($A$2-3))</x:f>
      </x:c>
      <x:c r="L37" s="5"/>
      <x:c r="M37" s="264" t="s">
        <x:v>59</x:v>
      </x:c>
      <x:c r="N37" s="260"/>
      <x:c r="O37" s="261"/>
      <x:c r="P37" s="261"/>
      <x:c r="Q37" s="7"/>
      <x:c r="R37" s="7"/>
      <x:c r="S37" s="7"/>
      <x:c r="T37" s="8"/>
      <x:c r="V37" s="11"/>
    </x:row>
    <x:row r="38" spans="1:23" ht="15.75" customHeight="1" x14ac:dyDescent="0.25">
      <x:c r="A38" s="257" t="s">
        <x:v>38</x:v>
      </x:c>
      <x:c r="B38" s="24"/>
      <x:c r="C38" s="7"/>
      <x:c r="D38" s="7"/>
      <x:c r="E38" s="7"/>
      <x:c r="F38" s="7"/>
      <x:c r="G38" s="7"/>
      <x:c r="H38" s="7"/>
      <x:c r="I38" s="135"/>
      <x:c r="J38" s="139"/>
      <x:c r="K38" s="140"/>
      <x:c r="L38" s="5"/>
      <x:c r="M38" s="264" t="s">
        <x:v>66</x:v>
      </x:c>
      <x:c r="N38" s="260"/>
      <x:c r="O38" s="261"/>
      <x:c r="P38" s="261"/>
      <x:c r="Q38" s="7"/>
      <x:c r="R38" s="7"/>
      <x:c r="S38" s="7"/>
      <x:c r="T38" s="8"/>
    </x:row>
    <x:row r="39" spans="1:23" ht="15.75" customHeight="1" x14ac:dyDescent="0.3">
      <x:c r="A39" s="257" t="s">
        <x:v>66</x:v>
      </x:c>
      <x:c r="B39" s="24"/>
      <x:c r="C39" s="7"/>
      <x:c r="D39" s="7"/>
      <x:c r="E39" s="7"/>
      <x:c r="F39" s="7"/>
      <x:c r="G39" s="7"/>
      <x:c r="H39" s="8"/>
      <x:c r="I39" s="135"/>
      <x:c r="J39" s="139"/>
      <x:c r="K39" s="140"/>
      <x:c r="L39" s="5"/>
      <x:c r="M39" s="264" t="s">
        <x:v>58</x:v>
      </x:c>
      <x:c r="N39" s="260"/>
      <x:c r="O39" s="261"/>
      <x:c r="P39" s="261"/>
      <x:c r="Q39" s="7"/>
      <x:c r="R39" s="7"/>
      <x:c r="S39" s="7"/>
      <x:c r="T39" s="8"/>
    </x:row>
    <x:row r="40" spans="1:23" ht="15.75" customHeight="1" x14ac:dyDescent="0.3">
      <x:c r="A40" s="257" t="s">
        <x:v>43</x:v>
      </x:c>
      <x:c r="B40" s="24"/>
      <x:c r="C40" s="7"/>
      <x:c r="D40" s="7"/>
      <x:c r="E40" s="7"/>
      <x:c r="F40" s="7"/>
      <x:c r="G40" s="7"/>
      <x:c r="H40" s="7"/>
      <x:c r="I40" s="135"/>
      <x:c r="J40" s="139"/>
      <x:c r="K40" s="140"/>
      <x:c r="L40" s="5">
        <x:v>1</x:v>
      </x:c>
      <x:c r="M40" s="265" t="s">
        <x:v>64</x:v>
      </x:c>
      <x:c r="N40" s="260"/>
      <x:c r="O40" s="261"/>
      <x:c r="P40" s="7"/>
      <x:c r="Q40" s="7"/>
      <x:c r="R40" s="7"/>
      <x:c r="S40" s="7"/>
      <x:c r="T40" s="8"/>
    </x:row>
    <x:row r="41" spans="1:23" ht="15.75" customHeight="1" x14ac:dyDescent="0.3">
      <x:c r="A41" s="257" t="s">
        <x:v>46</x:v>
      </x:c>
      <x:c r="B41" s="24"/>
      <x:c r="C41" s="7"/>
      <x:c r="D41" s="7"/>
      <x:c r="E41" s="7"/>
      <x:c r="F41" s="7"/>
      <x:c r="G41" s="7"/>
      <x:c r="H41" s="8"/>
      <x:c r="I41" s="135"/>
      <x:c r="J41" s="139"/>
      <x:c r="K41" s="140"/>
      <x:c r="L41" s="5"/>
      <x:c r="M41" s="265" t="s">
        <x:v>63</x:v>
      </x:c>
      <x:c r="N41" s="260"/>
      <x:c r="O41" s="261"/>
      <x:c r="P41" s="7"/>
      <x:c r="Q41" s="7"/>
      <x:c r="R41" s="7"/>
      <x:c r="S41" s="7"/>
      <x:c r="T41" s="8"/>
    </x:row>
    <x:row r="42" spans="1:23" ht="15.75" customHeight="1" x14ac:dyDescent="0.3">
      <x:c r="A42" s="257" t="s">
        <x:v>67</x:v>
      </x:c>
      <x:c r="B42" s="24"/>
      <x:c r="C42" s="7"/>
      <x:c r="D42" s="7"/>
      <x:c r="E42" s="7"/>
      <x:c r="F42" s="7"/>
      <x:c r="G42" s="7"/>
      <x:c r="H42" s="8"/>
      <x:c r="I42" s="135"/>
      <x:c r="J42" s="139"/>
      <x:c r="K42" s="140"/>
      <x:c r="L42" s="5"/>
      <x:c r="M42" s="265" t="s">
        <x:v>67</x:v>
      </x:c>
      <x:c r="N42" s="260"/>
      <x:c r="O42" s="261"/>
      <x:c r="P42" s="7"/>
      <x:c r="Q42" s="7"/>
      <x:c r="R42" s="7"/>
      <x:c r="S42" s="7"/>
      <x:c r="T42" s="8"/>
    </x:row>
    <x:row r="43" spans="1:23" ht="15.75" customHeight="1" x14ac:dyDescent="0.3">
      <x:c r="A43" s="257" t="s">
        <x:v>68</x:v>
      </x:c>
      <x:c r="B43" s="24"/>
      <x:c r="C43" s="7"/>
      <x:c r="D43" s="7"/>
      <x:c r="E43" s="7"/>
      <x:c r="F43" s="7"/>
      <x:c r="G43" s="7"/>
      <x:c r="H43" s="8"/>
      <x:c r="I43" s="251" t="s">
        <x:v>69</x:v>
      </x:c>
      <x:c r="J43" s="252"/>
      <x:c r="K43" s="252"/>
      <x:c r="L43" s="5"/>
      <x:c r="M43" s="265" t="s">
        <x:v>70</x:v>
      </x:c>
      <x:c r="N43" s="260"/>
      <x:c r="O43" s="261"/>
      <x:c r="P43" s="7"/>
      <x:c r="Q43" s="7"/>
      <x:c r="R43" s="7"/>
      <x:c r="S43" s="7"/>
      <x:c r="T43" s="8"/>
    </x:row>
    <x:row r="44" spans="1:23" ht="15.75" customHeight="1" x14ac:dyDescent="0.3">
      <x:c r="A44" s="257" t="s">
        <x:v>71</x:v>
      </x:c>
      <x:c r="B44" s="266" t="s">
        <x:v>72</x:v>
      </x:c>
      <x:c r="C44" s="267"/>
      <x:c r="D44" s="267"/>
      <x:c r="E44" s="267"/>
      <x:c r="F44" s="267"/>
      <x:c r="G44" s="267"/>
      <x:c r="H44" s="267"/>
      <x:c r="I44" s="143">
        <x:f>((J3*7)+(J4*6)+(J5*5)+(J6*4)+(J7*3)+(J8*2)+(J9)+(J10*0))/(A2*7)</x:f>
      </x:c>
      <x:c r="J44" s="144"/>
      <x:c r="K44" s="144"/>
      <x:c r="L44" s="5">
        <x:v>0</x:v>
      </x:c>
      <x:c r="M44" s="268" t="s">
        <x:v>68</x:v>
      </x:c>
      <x:c r="N44" s="260"/>
      <x:c r="O44" s="7"/>
      <x:c r="P44" s="7"/>
      <x:c r="Q44" s="7"/>
      <x:c r="R44" s="7"/>
      <x:c r="S44" s="7"/>
      <x:c r="T44" s="8"/>
    </x:row>
    <x:row r="45" spans="1:23" ht="15.75" customHeight="1" x14ac:dyDescent="0.3">
      <x:c r="A45" s="257" t="s">
        <x:v>70</x:v>
      </x:c>
      <x:c r="B45" s="24"/>
      <x:c r="C45" s="7"/>
      <x:c r="D45" s="7"/>
      <x:c r="E45" s="7"/>
      <x:c r="F45" s="7"/>
      <x:c r="G45" s="7"/>
      <x:c r="H45" s="8"/>
      <x:c r="I45" s="143"/>
      <x:c r="J45" s="144"/>
      <x:c r="K45" s="144"/>
      <x:c r="L45" s="5"/>
      <x:c r="M45" s="268" t="s">
        <x:v>73</x:v>
      </x:c>
      <x:c r="N45" s="260"/>
      <x:c r="O45" s="7"/>
      <x:c r="P45" s="7"/>
      <x:c r="Q45" s="7"/>
      <x:c r="R45" s="7"/>
      <x:c r="S45" s="7"/>
      <x:c r="T45" s="8"/>
    </x:row>
    <x:row r="46" spans="1:23" ht="15.75" customHeight="1" x14ac:dyDescent="0.3">
      <x:c r="A46" s="257" t="s">
        <x:v>47</x:v>
      </x:c>
      <x:c r="B46" s="24"/>
      <x:c r="C46" s="7"/>
      <x:c r="D46" s="7"/>
      <x:c r="E46" s="7"/>
      <x:c r="F46" s="7"/>
      <x:c r="G46" s="7"/>
      <x:c r="H46" s="8"/>
      <x:c r="I46" s="143"/>
      <x:c r="J46" s="144"/>
      <x:c r="K46" s="144"/>
      <x:c r="L46" s="5" t="s">
        <x:v>74</x:v>
      </x:c>
      <x:c r="M46" s="268" t="s">
        <x:v>71</x:v>
      </x:c>
      <x:c r="N46" s="266" t="s">
        <x:v>72</x:v>
      </x:c>
      <x:c r="O46" s="267"/>
      <x:c r="P46" s="267"/>
      <x:c r="Q46" s="267"/>
      <x:c r="R46" s="267"/>
      <x:c r="S46" s="267"/>
      <x:c r="T46" s="267"/>
    </x:row>
    <x:row r="47" spans="1:23" ht="15.75" customHeight="1" x14ac:dyDescent="0.25">
      <x:c r="A47" s="257" t="s">
        <x:v>73</x:v>
      </x:c>
      <x:c r="B47" s="24"/>
      <x:c r="C47" s="7"/>
      <x:c r="D47" s="7"/>
      <x:c r="E47" s="7"/>
      <x:c r="F47" s="7"/>
      <x:c r="G47" s="7"/>
      <x:c r="H47" s="8"/>
    </x:row>
    <x:row r="48" spans="1:23" ht="15.75" customHeight="1" x14ac:dyDescent="0.25">
      <x:c r="A48" s="257" t="s">
        <x:v>49</x:v>
      </x:c>
      <x:c r="B48" s="269" t="s">
        <x:v>72</x:v>
      </x:c>
      <x:c r="C48" s="270"/>
      <x:c r="D48" s="270"/>
      <x:c r="E48" s="270"/>
      <x:c r="F48" s="7"/>
      <x:c r="G48" s="7"/>
      <x:c r="H48" s="8"/>
    </x:row>
    <x:row r="49" ht="15.75" customHeight="1" x14ac:dyDescent="0.25"/>
    <x:row r="50" ht="15" customHeight="1" x14ac:dyDescent="0.25"/>
    <x:row r="51" ht="15" customHeight="1" x14ac:dyDescent="0.25"/>
    <x:row r="52" ht="15" customHeight="1" x14ac:dyDescent="0.25"/>
  </x:sheetData>
  <x:mergeCells count="35">
    <x:mergeCell ref="B1:H1"/>
    <x:mergeCell ref="I1:K2"/>
    <x:mergeCell ref="L1:L21"/>
    <x:mergeCell ref="I11:K11"/>
    <x:mergeCell ref="I12:I13"/>
    <x:mergeCell ref="J12:J13"/>
    <x:mergeCell ref="K12:K13"/>
    <x:mergeCell ref="I14:I15"/>
    <x:mergeCell ref="J14:J15"/>
    <x:mergeCell ref="K14:K15"/>
    <x:mergeCell ref="I16:I18"/>
    <x:mergeCell ref="J16:J18"/>
    <x:mergeCell ref="K16:K18"/>
    <x:mergeCell ref="I19:I24"/>
    <x:mergeCell ref="J19:J24"/>
    <x:mergeCell ref="K19:K24"/>
    <x:mergeCell ref="L22:L24"/>
    <x:mergeCell ref="I25:I30"/>
    <x:mergeCell ref="J25:J30"/>
    <x:mergeCell ref="K25:K30"/>
    <x:mergeCell ref="L25:L31"/>
    <x:mergeCell ref="I31:I36"/>
    <x:mergeCell ref="J31:J36"/>
    <x:mergeCell ref="K31:K36"/>
    <x:mergeCell ref="L32:L34"/>
    <x:mergeCell ref="L35:L39"/>
    <x:mergeCell ref="I37:I42"/>
    <x:mergeCell ref="J37:J42"/>
    <x:mergeCell ref="K37:K42"/>
    <x:mergeCell ref="L40:L43"/>
    <x:mergeCell ref="I43:K43"/>
    <x:mergeCell ref="B44:H44"/>
    <x:mergeCell ref="I44:K46"/>
    <x:mergeCell ref="L44:L45"/>
    <x:mergeCell ref="N46:T46"/>
  </x:mergeCells>
  <x:conditionalFormatting sqref="B3:B999">
    <x:cfRule type="expression" dxfId="0" priority="1" operator="equal">
      <x:formula>IF(COUNTIF(INDIRECT("M1:M" &amp; MATCH("-", INDIRECT("L1:L" &amp; $A$2), 0)-1), A3)&lt;&gt;0, "ИСТИНА", "ЛОЖЬ")</x:formula>
    </x:cfRule>
  </x:conditionalFormatting>
  <x:conditionalFormatting sqref="C3:C999">
    <x:cfRule type="expression" dxfId="0" priority="2" operator="equal">
      <x:formula>IF(COUNTIF(INDIRECT("M1:M" &amp; MATCH(0, INDIRECT("L1:L" &amp; $A$2), 0)-1), A3)&lt;&gt;0, "ИСТИНА")</x:formula>
    </x:cfRule>
  </x:conditionalFormatting>
  <x:conditionalFormatting sqref="D3:D999">
    <x:cfRule type="expression" dxfId="0" priority="3" operator="equal">
      <x:formula>IF(COUNTIF(INDIRECT("M1:M" &amp; MATCH(1, INDIRECT("L1:L" &amp; $A$2), 0)-1), A3)&lt;&gt;0, "ИСТИНА", "ЛОЖЬ")</x:formula>
    </x:cfRule>
  </x:conditionalFormatting>
  <x:conditionalFormatting sqref="E3:E999">
    <x:cfRule type="expression" dxfId="0" priority="4" operator="equal">
      <x:formula>IF(COUNTIF(INDIRECT("M1:M" &amp; MATCH(2, INDIRECT("L1:L" &amp; $A$2), 0)-1), A3)&lt;&gt;0, "ИСТИНА", "ЛОЖЬ")</x:formula>
    </x:cfRule>
  </x:conditionalFormatting>
  <x:conditionalFormatting sqref="F3:F999">
    <x:cfRule type="expression" dxfId="0" priority="5" operator="equal">
      <x:formula>IF(COUNTIF(INDIRECT("M1:M" &amp; MATCH(3, INDIRECT("L1:L" &amp; $A$2), 0)-1), A3)&lt;&gt;0, "ИСТИНА", "ЛОЖЬ")</x:formula>
    </x:cfRule>
  </x:conditionalFormatting>
  <x:conditionalFormatting sqref="G3:G999">
    <x:cfRule type="expression" dxfId="0" priority="6" operator="equal">
      <x:formula>IF(COUNTIF(INDIRECT("M1:M" &amp; MATCH(4, INDIRECT("L1:L" &amp; $A$2), 0)-1), A3)&lt;&gt;0, "ИСТИНА", "ЛОЖЬ")</x:formula>
    </x:cfRule>
  </x:conditionalFormatting>
  <x:conditionalFormatting sqref="H3:H999">
    <x:cfRule type="expression" dxfId="0" priority="7" operator="equal">
      <x:formula>IF(COUNTIF(INDIRECT("M1:M" &amp; MATCH(5, INDIRECT("L1:L" &amp; $A$2), 0)-1), A3)&lt;&gt;0, "ИСТИНА", "ЛОЖЬ")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P67"/>
  <x:sheetViews>
    <x:sheetView workbookViewId="0">
      <x:selection activeCell="F5" sqref="F5"/>
    </x:sheetView>
  </x:sheetViews>
  <x:sheetFormatPr defaultRowHeight="15" x14ac:dyDescent="0.25"/>
  <x:cols>
    <x:col min="1" max="1" width="11.710938" style="0" bestFit="1" customWidth="1"/>
    <x:col min="2" max="8" width="9.140625" style="0" customWidth="1"/>
    <x:col min="9" max="9" width="23.285156" style="0" bestFit="1" customWidth="1"/>
    <x:col min="10" max="11" width="9.140625" style="0" customWidth="1"/>
    <x:col min="12" max="12" width="12.285156" style="0" customWidth="1"/>
    <x:col min="13" max="13" width="47.855469" style="0" bestFit="1" customWidth="1"/>
    <x:col min="14" max="14" width="24" style="0" bestFit="1" customWidth="1"/>
    <x:col min="15" max="15" width="30.285156" style="0" bestFit="1" customWidth="1"/>
  </x:cols>
  <x:sheetData>
    <x:row r="1" spans="1:16" ht="15.75" customHeight="1" x14ac:dyDescent="0.25">
      <x:c r="A1" s="2" t="s">
        <x:v>0</x:v>
      </x:c>
      <x:c r="B1" s="145" t="s">
        <x:v>1</x:v>
      </x:c>
      <x:c r="C1" s="145"/>
      <x:c r="D1" s="145"/>
      <x:c r="E1" s="145"/>
      <x:c r="F1" s="145"/>
      <x:c r="G1" s="145"/>
      <x:c r="H1" s="145"/>
      <x:c r="I1" s="146" t="s">
        <x:v>75</x:v>
      </x:c>
      <x:c r="J1" s="146"/>
      <x:c r="K1" s="146"/>
      <x:c r="L1" s="147" t="s">
        <x:v>76</x:v>
      </x:c>
      <x:c r="M1" s="147"/>
      <x:c r="N1" s="148" t="s">
        <x:v>77</x:v>
      </x:c>
      <x:c r="O1" s="148" t="s">
        <x:v>78</x:v>
      </x:c>
    </x:row>
    <x:row r="2" spans="1:16" ht="15.75" customHeight="1" x14ac:dyDescent="0.25">
      <x:c r="A2" s="2">
        <x:f>COUNTIF(A15:A999,"*")</x:f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146"/>
      <x:c r="J2" s="146"/>
      <x:c r="K2" s="146"/>
      <x:c r="L2" s="147"/>
      <x:c r="M2" s="147"/>
      <x:c r="N2" s="148"/>
      <x:c r="O2" s="148"/>
    </x:row>
    <x:row r="3" spans="1:16" ht="15.75" customHeight="1" x14ac:dyDescent="0.25">
      <x:c r="A3" s="149" t="s">
        <x:v>79</x:v>
      </x:c>
      <x:c r="B3" s="149"/>
      <x:c r="C3" s="149"/>
      <x:c r="D3" s="149"/>
      <x:c r="E3" s="149"/>
      <x:c r="F3" s="149"/>
      <x:c r="G3" s="149"/>
      <x:c r="H3" s="150"/>
      <x:c r="I3" s="153" t="s">
        <x:v>80</x:v>
      </x:c>
      <x:c r="J3" s="2">
        <x:f>A2 -J5</x:f>
      </x:c>
      <x:c r="K3" s="155">
        <x:f>J3/(A2)</x:f>
      </x:c>
      <x:c r="L3" s="271" t="s">
        <x:v>81</x:v>
      </x:c>
      <x:c r="M3" s="272" t="s">
        <x:v>82</x:v>
      </x:c>
      <x:c r="N3" s="273" t="s">
        <x:v>83</x:v>
      </x:c>
      <x:c r="O3" s="13" t="s">
        <x:v>84</x:v>
      </x:c>
    </x:row>
    <x:row r="4" spans="1:16" ht="15.75" customHeight="1" x14ac:dyDescent="0.25">
      <x:c r="A4" s="151"/>
      <x:c r="B4" s="151"/>
      <x:c r="C4" s="151"/>
      <x:c r="D4" s="151"/>
      <x:c r="E4" s="151"/>
      <x:c r="F4" s="151"/>
      <x:c r="G4" s="151"/>
      <x:c r="H4" s="152"/>
      <x:c r="I4" s="153"/>
      <x:c r="J4" s="2"/>
      <x:c r="K4" s="155"/>
      <x:c r="L4" s="271" t="s">
        <x:v>85</x:v>
      </x:c>
      <x:c r="M4" s="272" t="s">
        <x:v>82</x:v>
      </x:c>
      <x:c r="N4" s="274" t="s">
        <x:v>86</x:v>
      </x:c>
      <x:c r="O4" s="13" t="s">
        <x:v>87</x:v>
      </x:c>
      <x:c r="P4" s="14" t="s">
        <x:v>88</x:v>
      </x:c>
    </x:row>
    <x:row r="5" spans="1:16" ht="15.75" customHeight="1" x14ac:dyDescent="0.25">
      <x:c r="A5" s="271" t="s">
        <x:v>89</x:v>
      </x:c>
      <x:c r="B5" s="24">
        <x:v>1</x:v>
      </x:c>
      <x:c r="C5" s="7">
        <x:v>1</x:v>
      </x:c>
      <x:c r="D5" s="7">
        <x:v>1</x:v>
      </x:c>
      <x:c r="E5" s="7">
        <x:v>1</x:v>
      </x:c>
      <x:c r="F5" s="7"/>
      <x:c r="G5" s="7"/>
      <x:c r="H5" s="8"/>
      <x:c r="I5" s="153" t="s">
        <x:v>90</x:v>
      </x:c>
      <x:c r="J5" s="2">
        <x:f>COUNTIF(INDIRECT("B15:B" &amp; A2+14), "НЕТ ПЕРСОНАЖА")</x:f>
      </x:c>
      <x:c r="K5" s="155">
        <x:f>J5/(A2)</x:f>
      </x:c>
      <x:c r="L5" s="271" t="s">
        <x:v>91</x:v>
      </x:c>
      <x:c r="M5" s="275" t="s">
        <x:v>92</x:v>
      </x:c>
      <x:c r="N5" s="276" t="s">
        <x:v>93</x:v>
      </x:c>
      <x:c r="O5" s="13" t="s">
        <x:v>74</x:v>
      </x:c>
    </x:row>
    <x:row r="6" spans="1:16" ht="15.75" customHeight="1" x14ac:dyDescent="0.25">
      <x:c r="A6" s="271" t="s">
        <x:v>94</x:v>
      </x:c>
      <x:c r="B6" s="24">
        <x:v>1</x:v>
      </x:c>
      <x:c r="C6" s="7">
        <x:v>1</x:v>
      </x:c>
      <x:c r="D6" s="7"/>
      <x:c r="E6" s="7"/>
      <x:c r="F6" s="7"/>
      <x:c r="G6" s="7"/>
      <x:c r="H6" s="8"/>
      <x:c r="I6" s="153"/>
      <x:c r="J6" s="2"/>
      <x:c r="K6" s="155"/>
      <x:c r="L6" s="271" t="s">
        <x:v>95</x:v>
      </x:c>
      <x:c r="M6" s="272" t="s">
        <x:v>82</x:v>
      </x:c>
      <x:c r="N6" s="275" t="s">
        <x:v>91</x:v>
      </x:c>
      <x:c r="O6" s="13" t="s">
        <x:v>74</x:v>
      </x:c>
    </x:row>
    <x:row r="7" spans="1:16" ht="15.75" customHeight="1" x14ac:dyDescent="0.25">
      <x:c r="A7" s="271" t="s">
        <x:v>96</x:v>
      </x:c>
      <x:c r="B7" s="24">
        <x:v>1</x:v>
      </x:c>
      <x:c r="C7" s="7">
        <x:v>1</x:v>
      </x:c>
      <x:c r="D7" s="7">
        <x:v>1</x:v>
      </x:c>
      <x:c r="E7" s="7"/>
      <x:c r="F7" s="7"/>
      <x:c r="G7" s="7"/>
      <x:c r="H7" s="8"/>
      <x:c r="I7" s="156" t="s">
        <x:v>97</x:v>
      </x:c>
      <x:c r="J7" s="157"/>
      <x:c r="K7" s="158"/>
      <x:c r="L7" s="271" t="s">
        <x:v>98</x:v>
      </x:c>
      <x:c r="M7" s="272" t="s">
        <x:v>82</x:v>
      </x:c>
      <x:c r="N7" s="275" t="s">
        <x:v>99</x:v>
      </x:c>
      <x:c r="O7" s="13" t="s">
        <x:v>74</x:v>
      </x:c>
    </x:row>
    <x:row r="8" spans="1:16" ht="15.75" customHeight="1" x14ac:dyDescent="0.25">
      <x:c r="A8" s="271" t="s">
        <x:v>100</x:v>
      </x:c>
      <x:c r="B8" s="24">
        <x:v>1</x:v>
      </x:c>
      <x:c r="C8" s="7">
        <x:v>1</x:v>
      </x:c>
      <x:c r="D8" s="7">
        <x:v>1</x:v>
      </x:c>
      <x:c r="E8" s="7"/>
      <x:c r="F8" s="7"/>
      <x:c r="G8" s="7"/>
      <x:c r="H8" s="8"/>
      <x:c r="I8" s="135"/>
      <x:c r="J8" s="1"/>
      <x:c r="K8" s="160"/>
      <x:c r="L8" s="271" t="s">
        <x:v>86</x:v>
      </x:c>
      <x:c r="M8" s="275" t="s">
        <x:v>92</x:v>
      </x:c>
      <x:c r="N8" s="275" t="s">
        <x:v>101</x:v>
      </x:c>
      <x:c r="O8" s="13" t="s">
        <x:v>74</x:v>
      </x:c>
    </x:row>
    <x:row r="9" spans="1:16" ht="15.75" customHeight="1" x14ac:dyDescent="0.25">
      <x:c r="A9" s="271" t="s">
        <x:v>102</x:v>
      </x:c>
      <x:c r="B9" s="24">
        <x:v>1</x:v>
      </x:c>
      <x:c r="C9" s="7">
        <x:v>1</x:v>
      </x:c>
      <x:c r="D9" s="7"/>
      <x:c r="E9" s="7"/>
      <x:c r="F9" s="7"/>
      <x:c r="G9" s="7"/>
      <x:c r="H9" s="8"/>
      <x:c r="I9" s="153" t="s">
        <x:v>103</x:v>
      </x:c>
      <x:c r="J9" s="2">
        <x:f>COUNT(B5:H12)</x:f>
      </x:c>
      <x:c r="K9" s="155">
        <x:f>J9/(COUNTIF(A5:A12, "?*")*7)</x:f>
      </x:c>
      <x:c r="L9" s="271" t="s">
        <x:v>83</x:v>
      </x:c>
      <x:c r="M9" s="275" t="s">
        <x:v>92</x:v>
      </x:c>
    </x:row>
    <x:row r="10" spans="1:16" ht="15.75" customHeight="1" x14ac:dyDescent="0.25">
      <x:c r="A10" s="271" t="s">
        <x:v>104</x:v>
      </x:c>
      <x:c r="B10" s="24">
        <x:v>1</x:v>
      </x:c>
      <x:c r="C10" s="7"/>
      <x:c r="D10" s="7"/>
      <x:c r="E10" s="7"/>
      <x:c r="F10" s="7"/>
      <x:c r="G10" s="7"/>
      <x:c r="H10" s="8"/>
      <x:c r="I10" s="153"/>
      <x:c r="J10" s="2"/>
      <x:c r="K10" s="155"/>
      <x:c r="L10" s="271" t="s">
        <x:v>105</x:v>
      </x:c>
      <x:c r="M10" s="272" t="s">
        <x:v>82</x:v>
      </x:c>
    </x:row>
    <x:row r="11" spans="1:16" ht="15.75" customHeight="1" x14ac:dyDescent="0.25">
      <x:c r="A11" s="271" t="s">
        <x:v>106</x:v>
      </x:c>
      <x:c r="B11" s="24">
        <x:v>1</x:v>
      </x:c>
      <x:c r="C11" s="7">
        <x:v>1</x:v>
      </x:c>
      <x:c r="D11" s="7">
        <x:v>1</x:v>
      </x:c>
      <x:c r="E11" s="7">
        <x:v>1</x:v>
      </x:c>
      <x:c r="F11" s="7"/>
      <x:c r="G11" s="7"/>
      <x:c r="H11" s="8"/>
      <x:c r="I11" s="153" t="s">
        <x:v>107</x:v>
      </x:c>
      <x:c r="J11" s="2">
        <x:f>(COUNTIF(A5:A12, "?*")*7)-J9</x:f>
      </x:c>
      <x:c r="K11" s="155">
        <x:f>J11/(COUNTIF(A5:A12, "?*")*7)</x:f>
      </x:c>
      <x:c r="L11" s="271" t="s">
        <x:v>101</x:v>
      </x:c>
      <x:c r="M11" s="272" t="s">
        <x:v>82</x:v>
      </x:c>
    </x:row>
    <x:row r="12" spans="1:16" ht="15.75" customHeight="1" x14ac:dyDescent="0.25">
      <x:c r="A12" s="271" t="s">
        <x:v>108</x:v>
      </x:c>
      <x:c r="B12" s="24">
        <x:v>1</x:v>
      </x:c>
      <x:c r="C12" s="7"/>
      <x:c r="D12" s="7"/>
      <x:c r="E12" s="7"/>
      <x:c r="F12" s="7"/>
      <x:c r="G12" s="7"/>
      <x:c r="H12" s="8"/>
      <x:c r="I12" s="153"/>
      <x:c r="J12" s="2"/>
      <x:c r="K12" s="155"/>
      <x:c r="L12" s="271" t="s">
        <x:v>109</x:v>
      </x:c>
      <x:c r="M12" s="272" t="s">
        <x:v>82</x:v>
      </x:c>
    </x:row>
    <x:row r="13" spans="1:16" ht="15.75" customHeight="1" x14ac:dyDescent="0.25">
      <x:c r="A13" s="149" t="s">
        <x:v>110</x:v>
      </x:c>
      <x:c r="B13" s="149"/>
      <x:c r="C13" s="149"/>
      <x:c r="D13" s="149"/>
      <x:c r="E13" s="149"/>
      <x:c r="F13" s="149"/>
      <x:c r="G13" s="149"/>
      <x:c r="H13" s="150"/>
      <x:c r="L13" s="271" t="s">
        <x:v>111</x:v>
      </x:c>
      <x:c r="M13" s="272" t="s">
        <x:v>82</x:v>
      </x:c>
    </x:row>
    <x:row r="14" spans="1:16" ht="15.75" customHeight="1" x14ac:dyDescent="0.25">
      <x:c r="A14" s="151"/>
      <x:c r="B14" s="151"/>
      <x:c r="C14" s="151"/>
      <x:c r="D14" s="151"/>
      <x:c r="E14" s="151"/>
      <x:c r="F14" s="151"/>
      <x:c r="G14" s="151"/>
      <x:c r="H14" s="152"/>
      <x:c r="L14" s="271" t="s">
        <x:v>112</x:v>
      </x:c>
      <x:c r="M14" s="272" t="s">
        <x:v>82</x:v>
      </x:c>
    </x:row>
    <x:row r="15" spans="1:16" ht="15.75" customHeight="1" x14ac:dyDescent="0.25">
      <x:c r="A15" s="271" t="s">
        <x:v>113</x:v>
      </x:c>
      <x:c r="B15" s="260"/>
      <x:c r="C15" s="7"/>
      <x:c r="D15" s="7"/>
      <x:c r="E15" s="7"/>
      <x:c r="F15" s="7"/>
      <x:c r="G15" s="7"/>
      <x:c r="H15" s="8"/>
      <x:c r="I15" s="9"/>
      <x:c r="J15" s="4"/>
      <x:c r="L15" s="271" t="s">
        <x:v>93</x:v>
      </x:c>
      <x:c r="M15" s="275" t="s">
        <x:v>114</x:v>
      </x:c>
    </x:row>
    <x:row r="16" spans="1:16" ht="15.75" customHeight="1" x14ac:dyDescent="0.25">
      <x:c r="A16" s="271" t="s">
        <x:v>81</x:v>
      </x:c>
      <x:c r="B16" s="266" t="s">
        <x:v>72</x:v>
      </x:c>
      <x:c r="C16" s="267"/>
      <x:c r="D16" s="267"/>
      <x:c r="E16" s="267"/>
      <x:c r="F16" s="267"/>
      <x:c r="G16" s="267"/>
      <x:c r="H16" s="277"/>
      <x:c r="I16" s="9"/>
      <x:c r="J16" s="4"/>
      <x:c r="L16" s="271" t="s">
        <x:v>115</x:v>
      </x:c>
      <x:c r="M16" s="272" t="s">
        <x:v>82</x:v>
      </x:c>
    </x:row>
    <x:row r="17" spans="1:16" ht="15.75" customHeight="1" x14ac:dyDescent="0.25">
      <x:c r="A17" s="271" t="s">
        <x:v>85</x:v>
      </x:c>
      <x:c r="B17" s="266" t="s">
        <x:v>72</x:v>
      </x:c>
      <x:c r="C17" s="267"/>
      <x:c r="D17" s="267"/>
      <x:c r="E17" s="267"/>
      <x:c r="F17" s="267"/>
      <x:c r="G17" s="267"/>
      <x:c r="H17" s="277"/>
      <x:c r="I17" s="9"/>
      <x:c r="J17" s="4"/>
      <x:c r="L17" s="271" t="s">
        <x:v>116</x:v>
      </x:c>
      <x:c r="M17" s="275" t="s">
        <x:v>117</x:v>
      </x:c>
    </x:row>
    <x:row r="18" spans="1:16" ht="15.75" customHeight="1" x14ac:dyDescent="0.25">
      <x:c r="A18" s="271" t="s">
        <x:v>118</x:v>
      </x:c>
      <x:c r="B18" s="260"/>
      <x:c r="C18" s="7"/>
      <x:c r="D18" s="7"/>
      <x:c r="E18" s="7"/>
      <x:c r="F18" s="7"/>
      <x:c r="G18" s="7"/>
      <x:c r="H18" s="8"/>
      <x:c r="I18" s="9"/>
      <x:c r="J18" s="4"/>
      <x:c r="L18" s="271" t="s">
        <x:v>99</x:v>
      </x:c>
      <x:c r="M18" s="273" t="s">
        <x:v>119</x:v>
      </x:c>
    </x:row>
    <x:row r="19" spans="1:16" ht="15.75" customHeight="1" x14ac:dyDescent="0.25">
      <x:c r="A19" s="271" t="s">
        <x:v>91</x:v>
      </x:c>
      <x:c r="B19" s="266" t="s">
        <x:v>72</x:v>
      </x:c>
      <x:c r="C19" s="267"/>
      <x:c r="D19" s="267"/>
      <x:c r="E19" s="267"/>
      <x:c r="F19" s="267"/>
      <x:c r="G19" s="267"/>
      <x:c r="H19" s="277"/>
      <x:c r="L19" s="271" t="s">
        <x:v>120</x:v>
      </x:c>
      <x:c r="M19" s="272" t="s">
        <x:v>82</x:v>
      </x:c>
    </x:row>
    <x:row r="20" spans="1:16" ht="15.75" customHeight="1" x14ac:dyDescent="0.25">
      <x:c r="A20" s="271" t="s">
        <x:v>121</x:v>
      </x:c>
      <x:c r="B20" s="260"/>
      <x:c r="C20" s="261"/>
      <x:c r="D20" s="7"/>
      <x:c r="E20" s="7"/>
      <x:c r="F20" s="7"/>
      <x:c r="G20" s="7"/>
      <x:c r="H20" s="8"/>
      <x:c r="L20" s="271" t="s">
        <x:v>122</x:v>
      </x:c>
      <x:c r="M20" s="272" t="s">
        <x:v>82</x:v>
      </x:c>
    </x:row>
    <x:row r="21" spans="1:16" ht="15.75" customHeight="1" x14ac:dyDescent="0.25">
      <x:c r="A21" s="271" t="s">
        <x:v>95</x:v>
      </x:c>
      <x:c r="B21" s="266" t="s">
        <x:v>72</x:v>
      </x:c>
      <x:c r="C21" s="267"/>
      <x:c r="D21" s="267"/>
      <x:c r="E21" s="267"/>
      <x:c r="F21" s="267"/>
      <x:c r="G21" s="267"/>
      <x:c r="H21" s="277"/>
      <x:c r="L21" s="271" t="s">
        <x:v>123</x:v>
      </x:c>
      <x:c r="M21" s="272" t="s">
        <x:v>82</x:v>
      </x:c>
    </x:row>
    <x:row r="22" spans="1:16" ht="15.75" customHeight="1" x14ac:dyDescent="0.25">
      <x:c r="A22" s="271" t="s">
        <x:v>124</x:v>
      </x:c>
      <x:c r="B22" s="260"/>
      <x:c r="C22" s="7"/>
      <x:c r="D22" s="7"/>
      <x:c r="E22" s="7"/>
      <x:c r="F22" s="7"/>
      <x:c r="G22" s="7"/>
      <x:c r="H22" s="8"/>
      <x:c r="L22" s="271" t="s">
        <x:v>125</x:v>
      </x:c>
      <x:c r="M22" s="272" t="s">
        <x:v>82</x:v>
      </x:c>
    </x:row>
    <x:row r="23" spans="1:16" ht="15.75" customHeight="1" x14ac:dyDescent="0.25">
      <x:c r="A23" s="271" t="s">
        <x:v>126</x:v>
      </x:c>
      <x:c r="B23" s="260"/>
      <x:c r="C23" s="7"/>
      <x:c r="D23" s="7"/>
      <x:c r="E23" s="7"/>
      <x:c r="F23" s="7"/>
      <x:c r="G23" s="7"/>
      <x:c r="H23" s="8"/>
      <x:c r="L23" s="271" t="s">
        <x:v>127</x:v>
      </x:c>
      <x:c r="M23" s="272" t="s">
        <x:v>82</x:v>
      </x:c>
    </x:row>
    <x:row r="24" spans="1:16" ht="15.75" customHeight="1" x14ac:dyDescent="0.25">
      <x:c r="A24" s="271" t="s">
        <x:v>128</x:v>
      </x:c>
      <x:c r="B24" s="260"/>
      <x:c r="C24" s="7"/>
      <x:c r="D24" s="7"/>
      <x:c r="E24" s="7"/>
      <x:c r="F24" s="7"/>
      <x:c r="G24" s="7"/>
      <x:c r="H24" s="8"/>
      <x:c r="I24" s="9"/>
      <x:c r="J24" s="4"/>
      <x:c r="L24" s="271" t="s">
        <x:v>129</x:v>
      </x:c>
      <x:c r="M24" s="272" t="s">
        <x:v>82</x:v>
      </x:c>
    </x:row>
    <x:row r="25" spans="1:16" ht="15.75" customHeight="1" x14ac:dyDescent="0.25">
      <x:c r="A25" s="271" t="s">
        <x:v>130</x:v>
      </x:c>
      <x:c r="B25" s="260"/>
      <x:c r="C25" s="261"/>
      <x:c r="D25" s="7"/>
      <x:c r="E25" s="7"/>
      <x:c r="F25" s="7"/>
      <x:c r="G25" s="7"/>
      <x:c r="H25" s="8"/>
      <x:c r="I25" s="9"/>
      <x:c r="J25" s="4"/>
      <x:c r="L25" s="271" t="s">
        <x:v>131</x:v>
      </x:c>
      <x:c r="M25" s="273" t="s">
        <x:v>119</x:v>
      </x:c>
    </x:row>
    <x:row r="26" spans="1:16" ht="15.75" customHeight="1" x14ac:dyDescent="0.25">
      <x:c r="A26" s="271" t="s">
        <x:v>98</x:v>
      </x:c>
      <x:c r="B26" s="266" t="s">
        <x:v>72</x:v>
      </x:c>
      <x:c r="C26" s="267"/>
      <x:c r="D26" s="267"/>
      <x:c r="E26" s="267"/>
      <x:c r="F26" s="267"/>
      <x:c r="G26" s="267"/>
      <x:c r="H26" s="277"/>
      <x:c r="I26" s="9"/>
      <x:c r="J26" s="4"/>
      <x:c r="L26" s="271" t="s">
        <x:v>132</x:v>
      </x:c>
      <x:c r="M26" s="275" t="s">
        <x:v>117</x:v>
      </x:c>
    </x:row>
    <x:row r="27" spans="1:16" ht="15.75" customHeight="1" x14ac:dyDescent="0.25">
      <x:c r="A27" s="271" t="s">
        <x:v>133</x:v>
      </x:c>
      <x:c r="B27" s="260"/>
      <x:c r="C27" s="7"/>
      <x:c r="D27" s="7"/>
      <x:c r="E27" s="7"/>
      <x:c r="F27" s="7"/>
      <x:c r="G27" s="7"/>
      <x:c r="H27" s="8"/>
      <x:c r="I27" s="9"/>
      <x:c r="J27" s="4"/>
      <x:c r="L27" s="271" t="s">
        <x:v>134</x:v>
      </x:c>
      <x:c r="M27" s="272" t="s">
        <x:v>82</x:v>
      </x:c>
    </x:row>
    <x:row r="28" spans="1:16" ht="15.75" customHeight="1" x14ac:dyDescent="0.25">
      <x:c r="A28" s="271" t="s">
        <x:v>135</x:v>
      </x:c>
      <x:c r="B28" s="260"/>
      <x:c r="C28" s="7"/>
      <x:c r="D28" s="7"/>
      <x:c r="E28" s="7"/>
      <x:c r="F28" s="7"/>
      <x:c r="G28" s="7"/>
      <x:c r="H28" s="8"/>
      <x:c r="I28" s="9"/>
      <x:c r="J28" s="4"/>
      <x:c r="L28" s="271" t="s">
        <x:v>136</x:v>
      </x:c>
      <x:c r="M28" s="272" t="s">
        <x:v>82</x:v>
      </x:c>
    </x:row>
    <x:row r="29" spans="1:16" ht="15.75" customHeight="1" x14ac:dyDescent="0.25">
      <x:c r="A29" s="271" t="s">
        <x:v>86</x:v>
      </x:c>
      <x:c r="B29" s="266" t="s">
        <x:v>72</x:v>
      </x:c>
      <x:c r="C29" s="267"/>
      <x:c r="D29" s="267"/>
      <x:c r="E29" s="267"/>
      <x:c r="F29" s="267"/>
      <x:c r="G29" s="267"/>
      <x:c r="H29" s="277"/>
      <x:c r="I29" s="9"/>
      <x:c r="J29" s="4"/>
    </x:row>
    <x:row r="30" spans="1:16" ht="15.75" customHeight="1" x14ac:dyDescent="0.25">
      <x:c r="A30" s="271" t="s">
        <x:v>83</x:v>
      </x:c>
      <x:c r="B30" s="266" t="s">
        <x:v>72</x:v>
      </x:c>
      <x:c r="C30" s="267"/>
      <x:c r="D30" s="267"/>
      <x:c r="E30" s="267"/>
      <x:c r="F30" s="267"/>
      <x:c r="G30" s="267"/>
      <x:c r="H30" s="277"/>
      <x:c r="I30" s="9"/>
      <x:c r="J30" s="4"/>
      <x:c r="L30" s="162" t="s">
        <x:v>137</x:v>
      </x:c>
      <x:c r="M30" s="149"/>
      <x:c r="N30" s="150"/>
    </x:row>
    <x:row r="31" spans="1:16" ht="15.75" customHeight="1" x14ac:dyDescent="0.25">
      <x:c r="A31" s="271" t="s">
        <x:v>105</x:v>
      </x:c>
      <x:c r="B31" s="266" t="s">
        <x:v>72</x:v>
      </x:c>
      <x:c r="C31" s="267"/>
      <x:c r="D31" s="267"/>
      <x:c r="E31" s="267"/>
      <x:c r="F31" s="267"/>
      <x:c r="G31" s="267"/>
      <x:c r="H31" s="277"/>
      <x:c r="I31" s="9"/>
      <x:c r="J31" s="4"/>
      <x:c r="L31" s="163"/>
      <x:c r="M31" s="151"/>
      <x:c r="N31" s="152"/>
    </x:row>
    <x:row r="32" spans="1:16" ht="15.75" customHeight="1" x14ac:dyDescent="0.25">
      <x:c r="A32" s="271" t="s">
        <x:v>101</x:v>
      </x:c>
      <x:c r="B32" s="266" t="s">
        <x:v>72</x:v>
      </x:c>
      <x:c r="C32" s="267"/>
      <x:c r="D32" s="267"/>
      <x:c r="E32" s="267"/>
      <x:c r="F32" s="267"/>
      <x:c r="G32" s="267"/>
      <x:c r="H32" s="277"/>
      <x:c r="I32" s="9"/>
      <x:c r="J32" s="4"/>
      <x:c r="L32" s="271" t="s">
        <x:v>81</x:v>
      </x:c>
      <x:c r="M32" s="278" t="s">
        <x:v>82</x:v>
      </x:c>
      <x:c r="N32" s="164" t="s">
        <x:v>138</x:v>
      </x:c>
    </x:row>
    <x:row r="33" spans="1:16" ht="15.75" customHeight="1" x14ac:dyDescent="0.25">
      <x:c r="A33" s="271" t="s">
        <x:v>139</x:v>
      </x:c>
      <x:c r="B33" s="260"/>
      <x:c r="C33" s="7"/>
      <x:c r="D33" s="7"/>
      <x:c r="E33" s="7"/>
      <x:c r="F33" s="7"/>
      <x:c r="G33" s="7"/>
      <x:c r="H33" s="8"/>
      <x:c r="I33" s="9"/>
      <x:c r="J33" s="4"/>
      <x:c r="L33" s="271" t="s">
        <x:v>91</x:v>
      </x:c>
      <x:c r="M33" s="279" t="s">
        <x:v>92</x:v>
      </x:c>
      <x:c r="N33" s="165"/>
    </x:row>
    <x:row r="34" spans="1:16" ht="15.75" customHeight="1" x14ac:dyDescent="0.25">
      <x:c r="A34" s="271" t="s">
        <x:v>109</x:v>
      </x:c>
      <x:c r="B34" s="266" t="s">
        <x:v>72</x:v>
      </x:c>
      <x:c r="C34" s="267"/>
      <x:c r="D34" s="267"/>
      <x:c r="E34" s="267"/>
      <x:c r="F34" s="267"/>
      <x:c r="G34" s="267"/>
      <x:c r="H34" s="277"/>
      <x:c r="I34" s="9"/>
      <x:c r="J34" s="4"/>
      <x:c r="L34" s="280" t="s">
        <x:v>126</x:v>
      </x:c>
      <x:c r="M34" s="278" t="s">
        <x:v>82</x:v>
      </x:c>
      <x:c r="N34" s="165"/>
    </x:row>
    <x:row r="35" spans="1:16" ht="15.75" customHeight="1" x14ac:dyDescent="0.25">
      <x:c r="A35" s="271" t="s">
        <x:v>111</x:v>
      </x:c>
      <x:c r="B35" s="266" t="s">
        <x:v>72</x:v>
      </x:c>
      <x:c r="C35" s="267"/>
      <x:c r="D35" s="267"/>
      <x:c r="E35" s="267"/>
      <x:c r="F35" s="267"/>
      <x:c r="G35" s="267"/>
      <x:c r="H35" s="277"/>
      <x:c r="I35" s="9"/>
      <x:c r="J35" s="4"/>
      <x:c r="L35" s="280" t="s">
        <x:v>89</x:v>
      </x:c>
      <x:c r="M35" s="281" t="s">
        <x:v>140</x:v>
      </x:c>
      <x:c r="N35" s="165"/>
    </x:row>
    <x:row r="36" spans="1:16" ht="15.75" customHeight="1" x14ac:dyDescent="0.25">
      <x:c r="A36" s="271" t="s">
        <x:v>141</x:v>
      </x:c>
      <x:c r="B36" s="260"/>
      <x:c r="C36" s="7"/>
      <x:c r="D36" s="7"/>
      <x:c r="E36" s="7"/>
      <x:c r="F36" s="7"/>
      <x:c r="G36" s="7"/>
      <x:c r="H36" s="8"/>
      <x:c r="L36" s="280" t="s">
        <x:v>94</x:v>
      </x:c>
      <x:c r="M36" s="279" t="s">
        <x:v>142</x:v>
      </x:c>
      <x:c r="N36" s="165"/>
    </x:row>
    <x:row r="37" spans="1:16" ht="15.75" customHeight="1" x14ac:dyDescent="0.25">
      <x:c r="A37" s="271" t="s">
        <x:v>112</x:v>
      </x:c>
      <x:c r="B37" s="266" t="s">
        <x:v>72</x:v>
      </x:c>
      <x:c r="C37" s="267"/>
      <x:c r="D37" s="267"/>
      <x:c r="E37" s="267"/>
      <x:c r="F37" s="267"/>
      <x:c r="G37" s="267"/>
      <x:c r="H37" s="277"/>
      <x:c r="L37" s="280" t="s">
        <x:v>96</x:v>
      </x:c>
      <x:c r="M37" s="281" t="s">
        <x:v>140</x:v>
      </x:c>
      <x:c r="N37" s="166"/>
    </x:row>
    <x:row r="38" spans="1:16" ht="15.75" customHeight="1" x14ac:dyDescent="0.25">
      <x:c r="A38" s="271" t="s">
        <x:v>93</x:v>
      </x:c>
      <x:c r="B38" s="266" t="s">
        <x:v>72</x:v>
      </x:c>
      <x:c r="C38" s="267"/>
      <x:c r="D38" s="267"/>
      <x:c r="E38" s="267"/>
      <x:c r="F38" s="267"/>
      <x:c r="G38" s="267"/>
      <x:c r="H38" s="277"/>
      <x:c r="L38" s="266"/>
      <x:c r="M38" s="267"/>
      <x:c r="N38" s="277"/>
    </x:row>
    <x:row r="39" spans="1:16" ht="15.75" customHeight="1" x14ac:dyDescent="0.25">
      <x:c r="A39" s="271" t="s">
        <x:v>115</x:v>
      </x:c>
      <x:c r="B39" s="266" t="s">
        <x:v>72</x:v>
      </x:c>
      <x:c r="C39" s="267"/>
      <x:c r="D39" s="267"/>
      <x:c r="E39" s="267"/>
      <x:c r="F39" s="267"/>
      <x:c r="G39" s="267"/>
      <x:c r="H39" s="277"/>
      <x:c r="L39" s="271" t="s">
        <x:v>95</x:v>
      </x:c>
      <x:c r="M39" s="278" t="s">
        <x:v>82</x:v>
      </x:c>
      <x:c r="N39" s="164" t="s">
        <x:v>143</x:v>
      </x:c>
    </x:row>
    <x:row r="40" spans="1:16" ht="15.75" customHeight="1" x14ac:dyDescent="0.25">
      <x:c r="A40" s="271" t="s">
        <x:v>116</x:v>
      </x:c>
      <x:c r="B40" s="266" t="s">
        <x:v>72</x:v>
      </x:c>
      <x:c r="C40" s="267"/>
      <x:c r="D40" s="267"/>
      <x:c r="E40" s="267"/>
      <x:c r="F40" s="267"/>
      <x:c r="G40" s="267"/>
      <x:c r="H40" s="277"/>
      <x:c r="L40" s="271" t="s">
        <x:v>85</x:v>
      </x:c>
      <x:c r="M40" s="278" t="s">
        <x:v>82</x:v>
      </x:c>
      <x:c r="N40" s="165"/>
    </x:row>
    <x:row r="41" spans="1:16" ht="15.75" customHeight="1" x14ac:dyDescent="0.25">
      <x:c r="A41" s="271" t="s">
        <x:v>144</x:v>
      </x:c>
      <x:c r="B41" s="266" t="s">
        <x:v>72</x:v>
      </x:c>
      <x:c r="C41" s="267"/>
      <x:c r="D41" s="267"/>
      <x:c r="E41" s="267"/>
      <x:c r="F41" s="267"/>
      <x:c r="G41" s="267"/>
      <x:c r="H41" s="277"/>
      <x:c r="L41" s="271" t="s">
        <x:v>115</x:v>
      </x:c>
      <x:c r="M41" s="278" t="s">
        <x:v>82</x:v>
      </x:c>
      <x:c r="N41" s="165"/>
    </x:row>
    <x:row r="42" spans="1:16" ht="15.75" customHeight="1" x14ac:dyDescent="0.25">
      <x:c r="A42" s="271" t="s">
        <x:v>145</x:v>
      </x:c>
      <x:c r="B42" s="260"/>
      <x:c r="C42" s="7"/>
      <x:c r="D42" s="7"/>
      <x:c r="E42" s="7"/>
      <x:c r="F42" s="7"/>
      <x:c r="G42" s="7"/>
      <x:c r="H42" s="8"/>
      <x:c r="L42" s="271" t="s">
        <x:v>83</x:v>
      </x:c>
      <x:c r="M42" s="279" t="s">
        <x:v>146</x:v>
      </x:c>
      <x:c r="N42" s="165"/>
    </x:row>
    <x:row r="43" spans="1:16" ht="15.75" customHeight="1" x14ac:dyDescent="0.25">
      <x:c r="A43" s="271" t="s">
        <x:v>147</x:v>
      </x:c>
      <x:c r="B43" s="260"/>
      <x:c r="C43" s="261"/>
      <x:c r="D43" s="261"/>
      <x:c r="E43" s="7"/>
      <x:c r="F43" s="7"/>
      <x:c r="G43" s="7"/>
      <x:c r="H43" s="8"/>
      <x:c r="L43" s="280" t="s">
        <x:v>100</x:v>
      </x:c>
      <x:c r="M43" s="281" t="s">
        <x:v>140</x:v>
      </x:c>
      <x:c r="N43" s="165"/>
    </x:row>
    <x:row r="44" spans="1:16" ht="15.75" customHeight="1" x14ac:dyDescent="0.25">
      <x:c r="A44" s="271" t="s">
        <x:v>99</x:v>
      </x:c>
      <x:c r="B44" s="266" t="s">
        <x:v>72</x:v>
      </x:c>
      <x:c r="C44" s="267"/>
      <x:c r="D44" s="267"/>
      <x:c r="E44" s="267"/>
      <x:c r="F44" s="267"/>
      <x:c r="G44" s="267"/>
      <x:c r="H44" s="277"/>
      <x:c r="L44" s="280" t="s">
        <x:v>102</x:v>
      </x:c>
      <x:c r="M44" s="279" t="s">
        <x:v>142</x:v>
      </x:c>
      <x:c r="N44" s="165"/>
    </x:row>
    <x:row r="45" spans="1:16" ht="15.75" customHeight="1" x14ac:dyDescent="0.25">
      <x:c r="A45" s="271" t="s">
        <x:v>120</x:v>
      </x:c>
      <x:c r="B45" s="266" t="s">
        <x:v>72</x:v>
      </x:c>
      <x:c r="C45" s="267"/>
      <x:c r="D45" s="267"/>
      <x:c r="E45" s="267"/>
      <x:c r="F45" s="267"/>
      <x:c r="G45" s="267"/>
      <x:c r="H45" s="277"/>
      <x:c r="L45" s="280" t="s">
        <x:v>121</x:v>
      </x:c>
      <x:c r="M45" s="279" t="s">
        <x:v>142</x:v>
      </x:c>
      <x:c r="N45" s="166"/>
    </x:row>
    <x:row r="46" spans="1:16" ht="15.75" customHeight="1" x14ac:dyDescent="0.25">
      <x:c r="A46" s="271" t="s">
        <x:v>122</x:v>
      </x:c>
      <x:c r="B46" s="266" t="s">
        <x:v>72</x:v>
      </x:c>
      <x:c r="C46" s="267"/>
      <x:c r="D46" s="267"/>
      <x:c r="E46" s="267"/>
      <x:c r="F46" s="267"/>
      <x:c r="G46" s="267"/>
      <x:c r="H46" s="277"/>
      <x:c r="L46" s="266"/>
      <x:c r="M46" s="267"/>
      <x:c r="N46" s="277"/>
    </x:row>
    <x:row r="47" spans="1:16" ht="15.75" customHeight="1" x14ac:dyDescent="0.25">
      <x:c r="A47" s="271" t="s">
        <x:v>148</x:v>
      </x:c>
      <x:c r="B47" s="260"/>
      <x:c r="C47" s="7"/>
      <x:c r="D47" s="7"/>
      <x:c r="E47" s="7"/>
      <x:c r="F47" s="7"/>
      <x:c r="G47" s="7"/>
      <x:c r="H47" s="8"/>
      <x:c r="L47" s="271" t="s">
        <x:v>98</x:v>
      </x:c>
      <x:c r="M47" s="278" t="s">
        <x:v>82</x:v>
      </x:c>
      <x:c r="N47" s="164" t="s">
        <x:v>149</x:v>
      </x:c>
    </x:row>
    <x:row r="48" spans="1:16" ht="15.75" customHeight="1" x14ac:dyDescent="0.25">
      <x:c r="A48" s="271" t="s">
        <x:v>150</x:v>
      </x:c>
      <x:c r="B48" s="260"/>
      <x:c r="C48" s="7"/>
      <x:c r="D48" s="7"/>
      <x:c r="E48" s="7"/>
      <x:c r="F48" s="7"/>
      <x:c r="G48" s="7"/>
      <x:c r="H48" s="8"/>
      <x:c r="L48" s="271" t="s">
        <x:v>86</x:v>
      </x:c>
      <x:c r="M48" s="279" t="s">
        <x:v>92</x:v>
      </x:c>
      <x:c r="N48" s="165"/>
    </x:row>
    <x:row r="49" spans="1:16" ht="15.75" customHeight="1" x14ac:dyDescent="0.25">
      <x:c r="A49" s="271" t="s">
        <x:v>123</x:v>
      </x:c>
      <x:c r="B49" s="266" t="s">
        <x:v>72</x:v>
      </x:c>
      <x:c r="C49" s="267"/>
      <x:c r="D49" s="267"/>
      <x:c r="E49" s="267"/>
      <x:c r="F49" s="267"/>
      <x:c r="G49" s="267"/>
      <x:c r="H49" s="277"/>
      <x:c r="L49" s="271" t="s">
        <x:v>105</x:v>
      </x:c>
      <x:c r="M49" s="278" t="s">
        <x:v>82</x:v>
      </x:c>
      <x:c r="N49" s="165"/>
    </x:row>
    <x:row r="50" spans="1:16" ht="15.75" customHeight="1" x14ac:dyDescent="0.25">
      <x:c r="A50" s="271" t="s">
        <x:v>125</x:v>
      </x:c>
      <x:c r="B50" s="266" t="s">
        <x:v>72</x:v>
      </x:c>
      <x:c r="C50" s="267"/>
      <x:c r="D50" s="267"/>
      <x:c r="E50" s="267"/>
      <x:c r="F50" s="267"/>
      <x:c r="G50" s="267"/>
      <x:c r="H50" s="277"/>
      <x:c r="L50" s="271" t="s">
        <x:v>101</x:v>
      </x:c>
      <x:c r="M50" s="278" t="s">
        <x:v>82</x:v>
      </x:c>
      <x:c r="N50" s="165"/>
    </x:row>
    <x:row r="51" spans="1:16" ht="15.75" customHeight="1" x14ac:dyDescent="0.25">
      <x:c r="A51" s="271" t="s">
        <x:v>151</x:v>
      </x:c>
      <x:c r="B51" s="260"/>
      <x:c r="C51" s="7"/>
      <x:c r="D51" s="7"/>
      <x:c r="E51" s="7"/>
      <x:c r="F51" s="7"/>
      <x:c r="G51" s="7"/>
      <x:c r="H51" s="8"/>
      <x:c r="L51" s="280" t="s">
        <x:v>128</x:v>
      </x:c>
      <x:c r="M51" s="279" t="s">
        <x:v>142</x:v>
      </x:c>
      <x:c r="N51" s="165"/>
    </x:row>
    <x:row r="52" spans="1:16" ht="15.75" customHeight="1" x14ac:dyDescent="0.25">
      <x:c r="A52" s="271" t="s">
        <x:v>127</x:v>
      </x:c>
      <x:c r="B52" s="266" t="s">
        <x:v>72</x:v>
      </x:c>
      <x:c r="C52" s="267"/>
      <x:c r="D52" s="267"/>
      <x:c r="E52" s="267"/>
      <x:c r="F52" s="267"/>
      <x:c r="G52" s="267"/>
      <x:c r="H52" s="277"/>
      <x:c r="L52" s="280" t="s">
        <x:v>130</x:v>
      </x:c>
      <x:c r="M52" s="279" t="s">
        <x:v>142</x:v>
      </x:c>
      <x:c r="N52" s="165"/>
    </x:row>
    <x:row r="53" spans="1:16" ht="15.75" customHeight="1" x14ac:dyDescent="0.25">
      <x:c r="A53" s="271" t="s">
        <x:v>152</x:v>
      </x:c>
      <x:c r="B53" s="260"/>
      <x:c r="C53" s="7"/>
      <x:c r="D53" s="7"/>
      <x:c r="E53" s="7"/>
      <x:c r="F53" s="7"/>
      <x:c r="G53" s="7"/>
      <x:c r="H53" s="8"/>
      <x:c r="L53" s="271" t="s">
        <x:v>122</x:v>
      </x:c>
      <x:c r="M53" s="278" t="s">
        <x:v>82</x:v>
      </x:c>
      <x:c r="N53" s="165"/>
    </x:row>
    <x:row r="54" spans="1:16" ht="15.75" customHeight="1" x14ac:dyDescent="0.25">
      <x:c r="A54" s="271" t="s">
        <x:v>153</x:v>
      </x:c>
      <x:c r="B54" s="260"/>
      <x:c r="C54" s="7"/>
      <x:c r="D54" s="7"/>
      <x:c r="E54" s="7"/>
      <x:c r="F54" s="7"/>
      <x:c r="G54" s="7"/>
      <x:c r="H54" s="8"/>
      <x:c r="L54" s="282" t="s">
        <x:v>135</x:v>
      </x:c>
      <x:c r="M54" s="283" t="s">
        <x:v>142</x:v>
      </x:c>
      <x:c r="N54" s="166"/>
    </x:row>
    <x:row r="55" spans="1:16" ht="15.75" customHeight="1" x14ac:dyDescent="0.25">
      <x:c r="A55" s="271" t="s">
        <x:v>154</x:v>
      </x:c>
      <x:c r="B55" s="260"/>
      <x:c r="C55" s="7"/>
      <x:c r="D55" s="7"/>
      <x:c r="E55" s="7"/>
      <x:c r="F55" s="7"/>
      <x:c r="G55" s="7"/>
      <x:c r="H55" s="8"/>
      <x:c r="L55" s="266"/>
      <x:c r="M55" s="267"/>
      <x:c r="N55" s="277"/>
    </x:row>
    <x:row r="56" spans="1:16" ht="15.75" customHeight="1" x14ac:dyDescent="0.25">
      <x:c r="A56" s="271" t="s">
        <x:v>155</x:v>
      </x:c>
      <x:c r="B56" s="260"/>
      <x:c r="C56" s="7"/>
      <x:c r="D56" s="7"/>
      <x:c r="E56" s="7"/>
      <x:c r="F56" s="7"/>
      <x:c r="G56" s="7"/>
      <x:c r="H56" s="8"/>
      <x:c r="L56" s="284" t="s">
        <x:v>109</x:v>
      </x:c>
      <x:c r="M56" s="285" t="s">
        <x:v>82</x:v>
      </x:c>
      <x:c r="N56" s="164" t="s">
        <x:v>156</x:v>
      </x:c>
    </x:row>
    <x:row r="57" spans="1:16" ht="15.75" customHeight="1" x14ac:dyDescent="0.25">
      <x:c r="A57" s="271" t="s">
        <x:v>129</x:v>
      </x:c>
      <x:c r="B57" s="266" t="s">
        <x:v>72</x:v>
      </x:c>
      <x:c r="C57" s="267"/>
      <x:c r="D57" s="267"/>
      <x:c r="E57" s="267"/>
      <x:c r="F57" s="267"/>
      <x:c r="G57" s="267"/>
      <x:c r="H57" s="277"/>
      <x:c r="L57" s="271" t="s">
        <x:v>111</x:v>
      </x:c>
      <x:c r="M57" s="278" t="s">
        <x:v>82</x:v>
      </x:c>
      <x:c r="N57" s="165"/>
    </x:row>
    <x:row r="58" spans="1:16" ht="15.75" customHeight="1" x14ac:dyDescent="0.25">
      <x:c r="A58" s="271" t="s">
        <x:v>131</x:v>
      </x:c>
      <x:c r="B58" s="266" t="s">
        <x:v>72</x:v>
      </x:c>
      <x:c r="C58" s="267"/>
      <x:c r="D58" s="267"/>
      <x:c r="E58" s="267"/>
      <x:c r="F58" s="267"/>
      <x:c r="G58" s="267"/>
      <x:c r="H58" s="277"/>
      <x:c r="L58" s="271" t="s">
        <x:v>112</x:v>
      </x:c>
      <x:c r="M58" s="278" t="s">
        <x:v>82</x:v>
      </x:c>
      <x:c r="N58" s="165"/>
    </x:row>
    <x:row r="59" spans="1:16" ht="15.75" customHeight="1" x14ac:dyDescent="0.25">
      <x:c r="A59" s="271" t="s">
        <x:v>132</x:v>
      </x:c>
      <x:c r="B59" s="266" t="s">
        <x:v>72</x:v>
      </x:c>
      <x:c r="C59" s="267"/>
      <x:c r="D59" s="267"/>
      <x:c r="E59" s="267"/>
      <x:c r="F59" s="267"/>
      <x:c r="G59" s="267"/>
      <x:c r="H59" s="277"/>
      <x:c r="L59" s="271" t="s">
        <x:v>93</x:v>
      </x:c>
      <x:c r="M59" s="279" t="s">
        <x:v>114</x:v>
      </x:c>
      <x:c r="N59" s="165"/>
    </x:row>
    <x:row r="60" spans="1:16" ht="15.75" customHeight="1" x14ac:dyDescent="0.25">
      <x:c r="A60" s="271" t="s">
        <x:v>134</x:v>
      </x:c>
      <x:c r="B60" s="266" t="s">
        <x:v>72</x:v>
      </x:c>
      <x:c r="C60" s="267"/>
      <x:c r="D60" s="267"/>
      <x:c r="E60" s="267"/>
      <x:c r="F60" s="267"/>
      <x:c r="G60" s="267"/>
      <x:c r="H60" s="277"/>
      <x:c r="L60" s="280" t="s">
        <x:v>106</x:v>
      </x:c>
      <x:c r="M60" s="281" t="s">
        <x:v>140</x:v>
      </x:c>
      <x:c r="N60" s="165"/>
    </x:row>
    <x:row r="61" spans="1:16" ht="15.75" customHeight="1" x14ac:dyDescent="0.25">
      <x:c r="A61" s="271" t="s">
        <x:v>136</x:v>
      </x:c>
      <x:c r="B61" s="266" t="s">
        <x:v>72</x:v>
      </x:c>
      <x:c r="C61" s="267"/>
      <x:c r="D61" s="267"/>
      <x:c r="E61" s="267"/>
      <x:c r="F61" s="267"/>
      <x:c r="G61" s="267"/>
      <x:c r="H61" s="277"/>
      <x:c r="L61" s="280" t="s">
        <x:v>108</x:v>
      </x:c>
      <x:c r="M61" s="279" t="s">
        <x:v>142</x:v>
      </x:c>
      <x:c r="N61" s="166"/>
    </x:row>
    <x:row r="62" spans="1:16" ht="15.75" customHeight="1" x14ac:dyDescent="0.25">
      <x:c r="A62" s="271" t="s">
        <x:v>157</x:v>
      </x:c>
      <x:c r="B62" s="266" t="s">
        <x:v>72</x:v>
      </x:c>
      <x:c r="C62" s="267"/>
      <x:c r="D62" s="267"/>
      <x:c r="E62" s="267"/>
      <x:c r="F62" s="267"/>
      <x:c r="G62" s="267"/>
      <x:c r="H62" s="277"/>
      <x:c r="L62" s="266"/>
      <x:c r="M62" s="267"/>
      <x:c r="N62" s="277"/>
    </x:row>
    <x:row r="63" spans="1:16" ht="15.75" customHeight="1" x14ac:dyDescent="0.25">
      <x:c r="A63" s="271" t="s">
        <x:v>158</x:v>
      </x:c>
      <x:c r="B63" s="266" t="s">
        <x:v>72</x:v>
      </x:c>
      <x:c r="C63" s="267"/>
      <x:c r="D63" s="267"/>
      <x:c r="E63" s="267"/>
      <x:c r="F63" s="267"/>
      <x:c r="G63" s="267"/>
      <x:c r="H63" s="277"/>
    </x:row>
    <x:row r="64" spans="1:16" ht="15.75" customHeight="1" x14ac:dyDescent="0.25">
      <x:c r="A64" s="271" t="s">
        <x:v>159</x:v>
      </x:c>
      <x:c r="B64" s="266" t="s">
        <x:v>72</x:v>
      </x:c>
      <x:c r="C64" s="267"/>
      <x:c r="D64" s="267"/>
      <x:c r="E64" s="267"/>
      <x:c r="F64" s="267"/>
      <x:c r="G64" s="267"/>
      <x:c r="H64" s="277"/>
    </x:row>
    <x:row r="65" spans="1:16" ht="15.75" customHeight="1" x14ac:dyDescent="0.25">
      <x:c r="A65" s="271" t="s">
        <x:v>160</x:v>
      </x:c>
      <x:c r="B65" s="266" t="s">
        <x:v>72</x:v>
      </x:c>
      <x:c r="C65" s="267"/>
      <x:c r="D65" s="267"/>
      <x:c r="E65" s="267"/>
      <x:c r="F65" s="267"/>
      <x:c r="G65" s="267"/>
      <x:c r="H65" s="277"/>
    </x:row>
    <x:row r="66" spans="1:16" ht="15.75" customHeight="1" x14ac:dyDescent="0.3">
      <x:c r="A66" s="271" t="s">
        <x:v>161</x:v>
      </x:c>
      <x:c r="B66" s="266" t="s">
        <x:v>72</x:v>
      </x:c>
      <x:c r="C66" s="267"/>
      <x:c r="D66" s="267"/>
      <x:c r="E66" s="267"/>
      <x:c r="F66" s="267"/>
      <x:c r="G66" s="267"/>
      <x:c r="H66" s="277"/>
    </x:row>
    <x:row r="67" spans="1:16" ht="15.75" customHeight="1" x14ac:dyDescent="0.3">
      <x:c r="A67" s="271" t="s">
        <x:v>162</x:v>
      </x:c>
      <x:c r="B67" s="266" t="s">
        <x:v>72</x:v>
      </x:c>
      <x:c r="C67" s="267"/>
      <x:c r="D67" s="267"/>
      <x:c r="E67" s="267"/>
      <x:c r="F67" s="267"/>
      <x:c r="G67" s="267"/>
      <x:c r="H67" s="277"/>
    </x:row>
  </x:sheetData>
  <x:mergeCells count="62">
    <x:mergeCell ref="B1:H1"/>
    <x:mergeCell ref="I1:K2"/>
    <x:mergeCell ref="L1:M2"/>
    <x:mergeCell ref="N1:N2"/>
    <x:mergeCell ref="O1:O2"/>
    <x:mergeCell ref="A3:H4"/>
    <x:mergeCell ref="I3:I4"/>
    <x:mergeCell ref="J3:J4"/>
    <x:mergeCell ref="K3:K4"/>
    <x:mergeCell ref="I5:I6"/>
    <x:mergeCell ref="J5:J6"/>
    <x:mergeCell ref="K5:K6"/>
    <x:mergeCell ref="I7:K8"/>
    <x:mergeCell ref="I9:I10"/>
    <x:mergeCell ref="J9:J10"/>
    <x:mergeCell ref="K9:K10"/>
    <x:mergeCell ref="I11:I12"/>
    <x:mergeCell ref="J11:J12"/>
    <x:mergeCell ref="K11:K12"/>
    <x:mergeCell ref="A13:H14"/>
    <x:mergeCell ref="B16:H16"/>
    <x:mergeCell ref="B17:H17"/>
    <x:mergeCell ref="B19:H19"/>
    <x:mergeCell ref="B21:H21"/>
    <x:mergeCell ref="B26:H26"/>
    <x:mergeCell ref="B29:H29"/>
    <x:mergeCell ref="B30:H30"/>
    <x:mergeCell ref="L30:N31"/>
    <x:mergeCell ref="B31:H31"/>
    <x:mergeCell ref="B32:H32"/>
    <x:mergeCell ref="N32:N37"/>
    <x:mergeCell ref="B34:H34"/>
    <x:mergeCell ref="B35:H35"/>
    <x:mergeCell ref="B37:H37"/>
    <x:mergeCell ref="B38:H38"/>
    <x:mergeCell ref="L38:N38"/>
    <x:mergeCell ref="B39:H39"/>
    <x:mergeCell ref="N39:N45"/>
    <x:mergeCell ref="B40:H40"/>
    <x:mergeCell ref="B41:H41"/>
    <x:mergeCell ref="B44:H44"/>
    <x:mergeCell ref="B45:H45"/>
    <x:mergeCell ref="B46:H46"/>
    <x:mergeCell ref="L46:N46"/>
    <x:mergeCell ref="N47:N54"/>
    <x:mergeCell ref="B49:H49"/>
    <x:mergeCell ref="B50:H50"/>
    <x:mergeCell ref="B52:H52"/>
    <x:mergeCell ref="L55:N55"/>
    <x:mergeCell ref="N56:N61"/>
    <x:mergeCell ref="B57:H57"/>
    <x:mergeCell ref="B58:H58"/>
    <x:mergeCell ref="B59:H59"/>
    <x:mergeCell ref="B60:H60"/>
    <x:mergeCell ref="B61:H61"/>
    <x:mergeCell ref="B62:H62"/>
    <x:mergeCell ref="L62:N62"/>
    <x:mergeCell ref="B63:H63"/>
    <x:mergeCell ref="B64:H64"/>
    <x:mergeCell ref="B65:H65"/>
    <x:mergeCell ref="B66:H66"/>
    <x:mergeCell ref="B67:H67"/>
  </x:mergeCells>
  <x:conditionalFormatting sqref="B5:H12">
    <x:cfRule type="containsText" dxfId="0" priority="1" operator="containsText" text="1">
      <x:formula>NOT(ISERROR(SEARCH("1",B5)))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K161"/>
  <x:sheetViews>
    <x:sheetView tabSelected="1" zoomScale="85" zoomScaleNormal="85" workbookViewId="0">
      <x:selection activeCell="C19" sqref="C19"/>
    </x:sheetView>
  </x:sheetViews>
  <x:sheetFormatPr defaultRowHeight="15" x14ac:dyDescent="0.25"/>
  <x:cols>
    <x:col min="1" max="1" width="11.285156" style="0" bestFit="1" customWidth="1"/>
    <x:col min="2" max="2" width="9.710938" style="0" bestFit="1" customWidth="1"/>
    <x:col min="3" max="6" width="9.140625" style="0" customWidth="1"/>
    <x:col min="7" max="7" width="11.855469" style="0" customWidth="1"/>
    <x:col min="8" max="8" width="9.140625" style="0" customWidth="1"/>
    <x:col min="9" max="9" width="9.140625" style="9" customWidth="1"/>
    <x:col min="10" max="10" width="9.425781" style="4" customWidth="1"/>
    <x:col min="11" max="11" width="10.710938" style="0" customWidth="1"/>
    <x:col min="12" max="12" width="9.710938" style="0" customWidth="1"/>
    <x:col min="13" max="13" width="9.285156" style="0" bestFit="1" customWidth="1"/>
    <x:col min="14" max="14" width="9.140625" style="0" customWidth="1"/>
    <x:col min="15" max="15" width="10.285156" style="0" customWidth="1"/>
    <x:col min="16" max="16" width="61.710938" style="0" customWidth="1"/>
    <x:col min="17" max="17" width="42.140625" style="0" customWidth="1"/>
    <x:col min="18" max="18" width="9.140625" style="0" customWidth="1"/>
    <x:col min="19" max="19" width="10.140625" style="0" customWidth="1"/>
    <x:col min="20" max="20" width="10" style="0" customWidth="1"/>
    <x:col min="21" max="21" width="11.855469" style="0" customWidth="1"/>
    <x:col min="22" max="22" width="11" style="0" bestFit="1" customWidth="1"/>
    <x:col min="23" max="23" width="9.140625" style="0" customWidth="1"/>
    <x:col min="24" max="26" width="10.285156" style="0" customWidth="1"/>
  </x:cols>
  <x:sheetData>
    <x:row r="1" spans="1:37" ht="28.5" customHeight="1" x14ac:dyDescent="0.25">
      <x:c r="A1" s="181" t="s">
        <x:v>163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182"/>
      <x:c r="N1" s="182"/>
      <x:c r="O1" s="182"/>
      <x:c r="P1" s="182"/>
      <x:c r="Q1" s="182"/>
      <x:c r="R1" s="183"/>
      <x:c r="T1" s="197" t="s">
        <x:v>163</x:v>
      </x:c>
      <x:c r="U1" s="197"/>
      <x:c r="V1" s="197"/>
      <x:c r="W1" s="197"/>
      <x:c r="X1" s="197"/>
      <x:c r="Y1" s="197"/>
      <x:c r="Z1" s="197"/>
      <x:c r="AA1" s="197"/>
      <x:c r="AB1" s="197"/>
      <x:c r="AC1" s="197"/>
      <x:c r="AD1" s="197"/>
      <x:c r="AE1" s="197"/>
      <x:c r="AF1" s="197"/>
      <x:c r="AG1" s="197"/>
      <x:c r="AH1" s="197" t="s">
        <x:v>164</x:v>
      </x:c>
      <x:c r="AI1" s="197"/>
      <x:c r="AJ1" s="197"/>
      <x:c r="AK1" s="197"/>
    </x:row>
    <x:row r="2" spans="1:37" ht="29.25" customHeight="1" x14ac:dyDescent="0.3">
      <x:c r="A2" s="184"/>
      <x:c r="B2" s="286"/>
      <x:c r="C2" s="286"/>
      <x:c r="D2" s="286"/>
      <x:c r="E2" s="286"/>
      <x:c r="F2" s="286"/>
      <x:c r="G2" s="286"/>
      <x:c r="H2" s="286"/>
      <x:c r="I2" s="286"/>
      <x:c r="J2" s="286"/>
      <x:c r="K2" s="286"/>
      <x:c r="L2" s="286"/>
      <x:c r="M2" s="286"/>
      <x:c r="N2" s="286"/>
      <x:c r="O2" s="286"/>
      <x:c r="P2" s="286"/>
      <x:c r="Q2" s="286"/>
      <x:c r="R2" s="186"/>
      <x:c r="T2" s="198" t="s">
        <x:v>165</x:v>
      </x:c>
      <x:c r="U2" s="198"/>
      <x:c r="V2" s="198" t="s">
        <x:v>166</x:v>
      </x:c>
      <x:c r="W2" s="198"/>
      <x:c r="X2" s="198" t="s">
        <x:v>167</x:v>
      </x:c>
      <x:c r="Y2" s="198"/>
      <x:c r="Z2" s="198" t="s">
        <x:v>168</x:v>
      </x:c>
      <x:c r="AA2" s="198"/>
      <x:c r="AB2" s="198" t="s">
        <x:v>169</x:v>
      </x:c>
      <x:c r="AC2" s="198"/>
      <x:c r="AD2" s="198" t="s">
        <x:v>170</x:v>
      </x:c>
      <x:c r="AE2" s="198"/>
      <x:c r="AF2" s="198" t="s">
        <x:v>171</x:v>
      </x:c>
      <x:c r="AG2" s="198"/>
      <x:c r="AH2" s="197"/>
      <x:c r="AI2" s="197"/>
      <x:c r="AJ2" s="197"/>
      <x:c r="AK2" s="197"/>
    </x:row>
    <x:row r="3" spans="1:37" ht="19.5" customHeight="1" x14ac:dyDescent="0.3">
      <x:c r="A3" s="173" t="s">
        <x:v>172</x:v>
      </x:c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5"/>
      <x:c r="T3" s="198"/>
      <x:c r="U3" s="198"/>
      <x:c r="V3" s="198"/>
      <x:c r="W3" s="198"/>
      <x:c r="X3" s="198"/>
      <x:c r="Y3" s="198"/>
      <x:c r="Z3" s="198"/>
      <x:c r="AA3" s="198"/>
      <x:c r="AB3" s="198"/>
      <x:c r="AC3" s="198"/>
      <x:c r="AD3" s="198"/>
      <x:c r="AE3" s="198"/>
      <x:c r="AF3" s="198"/>
      <x:c r="AG3" s="198"/>
      <x:c r="AH3" s="197"/>
      <x:c r="AI3" s="197"/>
      <x:c r="AJ3" s="197"/>
      <x:c r="AK3" s="197"/>
    </x:row>
    <x:row r="4" spans="1:37" ht="15.75" customHeight="1" x14ac:dyDescent="0.3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7"/>
      <x:c r="M4" s="177"/>
      <x:c r="N4" s="177"/>
      <x:c r="O4" s="177"/>
      <x:c r="P4" s="177"/>
      <x:c r="Q4" s="177"/>
      <x:c r="R4" s="178"/>
      <x:c r="T4" s="287" t="s">
        <x:v>121</x:v>
      </x:c>
      <x:c r="U4" s="17">
        <x:f>INDEX(INDIRECT("$A$6:$H$" &amp; $A$27 + $A$6 + 12), MATCH(T4,INDIRECT("$A$6:$A$" &amp; $A$27 + $A$6 + 12), 0), 7)</x:f>
      </x:c>
      <x:c r="V4" s="288" t="s">
        <x:v>113</x:v>
      </x:c>
      <x:c r="W4" s="17">
        <x:f>INDEX(INDIRECT("$A$6:$H$" &amp; $A$27 + $A$6 + 12), MATCH(V4,INDIRECT("$A$6:$A$" &amp; $A$27 + $A$6 + 12), 0), 7)</x:f>
      </x:c>
      <x:c r="X4" s="289" t="s">
        <x:v>145</x:v>
      </x:c>
      <x:c r="Y4" s="17">
        <x:f>INDEX(INDIRECT("$A$6:$H$" &amp; $A$27 + $A$6 + 12), MATCH(X4,INDIRECT("$A$6:$A$" &amp; $A$27 + $A$6 + 12), 0), 7)</x:f>
      </x:c>
      <x:c r="Z4" s="259" t="s">
        <x:v>148</x:v>
      </x:c>
      <x:c r="AA4" s="17">
        <x:f>INDEX(INDIRECT("$A$6:$H$" &amp; $A$27 + $A$6 + 12), MATCH(Z4,INDIRECT("$A$6:$A$" &amp; $A$27 + $A$6 + 12), 0), 7)</x:f>
      </x:c>
      <x:c r="AB4" s="257" t="s">
        <x:v>133</x:v>
      </x:c>
      <x:c r="AC4" s="17">
        <x:f>INDEX(INDIRECT("$A$6:$H$" &amp; $A$27 + $A$6 + 12), MATCH(AB4,INDIRECT("$A$6:$A$" &amp; $A$27 + $A$6 + 12), 0), 7)</x:f>
      </x:c>
      <x:c r="AD4" s="290" t="s">
        <x:v>118</x:v>
      </x:c>
      <x:c r="AE4" s="17">
        <x:f>INDEX(INDIRECT("$A$6:$H$" &amp; $A$27 + $A$6 + 12), MATCH(AD4,INDIRECT("$A$6:$A$" &amp; $A$27 + $A$6 + 12), 0), 7)</x:f>
      </x:c>
      <x:c r="AF4" s="291" t="s">
        <x:v>106</x:v>
      </x:c>
      <x:c r="AG4" s="17">
        <x:f>INDEX(INDIRECT("$A$6:$H$" &amp; $A$27 + $A$6 + 12), MATCH(AF4,INDIRECT("$A$6:$A$" &amp; $A$27 + $A$6 + 12), 0), 7)</x:f>
      </x:c>
      <x:c r="AH4" s="197">
        <x:f>COUNTIFS(T4:AG10,"&lt;=0,25") &amp; "/" &amp; COUNTIFS(T4:AG10,"&lt;&gt; *txt*", T4:AG10,"?*") &amp; " (" &amp; ROUND(((COUNTIFS(T4:AG10,"&lt;0,25"))*100)/(COUNTIFS(T4:AG10,"&lt;&gt; *txt*", T4:AG10,"?*")), 0) &amp; "%)"</x:f>
      </x:c>
      <x:c r="AI4" s="197"/>
      <x:c r="AJ4" s="197"/>
      <x:c r="AK4" s="197"/>
    </x:row>
    <x:row r="5" spans="1:37" ht="15.75" customHeight="1" x14ac:dyDescent="0.3">
      <x:c r="A5" s="114" t="s">
        <x:v>0</x:v>
      </x:c>
      <x:c r="B5" s="187" t="s">
        <x:v>173</x:v>
      </x:c>
      <x:c r="C5" s="187" t="s">
        <x:v>174</x:v>
      </x:c>
      <x:c r="D5" s="188" t="s">
        <x:v>175</x:v>
      </x:c>
      <x:c r="E5" s="188"/>
      <x:c r="F5" s="188"/>
      <x:c r="G5" s="189" t="s">
        <x:v>176</x:v>
      </x:c>
      <x:c r="H5" s="187" t="s">
        <x:v>177</x:v>
      </x:c>
      <x:c r="I5" s="190" t="s">
        <x:v>178</x:v>
      </x:c>
      <x:c r="J5" s="190" t="s">
        <x:v>179</x:v>
      </x:c>
      <x:c r="K5" s="190" t="s">
        <x:v>180</x:v>
      </x:c>
      <x:c r="L5" s="190" t="s">
        <x:v>181</x:v>
      </x:c>
      <x:c r="M5" s="190" t="s">
        <x:v>182</x:v>
      </x:c>
      <x:c r="N5" s="190" t="s">
        <x:v>183</x:v>
      </x:c>
      <x:c r="O5" s="190" t="s">
        <x:v>184</x:v>
      </x:c>
      <x:c r="P5" s="191" t="s">
        <x:v>185</x:v>
      </x:c>
      <x:c r="Q5" s="192" t="s">
        <x:v>186</x:v>
      </x:c>
      <x:c r="R5" s="2" t="s">
        <x:v>187</x:v>
      </x:c>
      <x:c r="T5" s="287" t="s">
        <x:v>19</x:v>
      </x:c>
      <x:c r="U5" s="17">
        <x:f>INDEX(INDIRECT("$A$6:$H$" &amp; $A$27 + $A$6 + 12), MATCH(T5,INDIRECT("$A$6:$A$" &amp; $A$27 + $A$6 + 12), 0), 7)</x:f>
      </x:c>
      <x:c r="V5" s="288" t="s">
        <x:v>89</x:v>
      </x:c>
      <x:c r="W5" s="17">
        <x:f>INDEX(INDIRECT("$A$6:$H$" &amp; $A$27 + $A$6 + 12), MATCH(V5,INDIRECT("$A$6:$A$" &amp; $A$27 + $A$6 + 12), 0), 7)</x:f>
      </x:c>
      <x:c r="X5" s="289" t="s">
        <x:v>135</x:v>
      </x:c>
      <x:c r="Y5" s="17">
        <x:f>INDEX(INDIRECT("$A$6:$H$" &amp; $A$27 + $A$6 + 12), MATCH(X5,INDIRECT("$A$6:$A$" &amp; $A$27 + $A$6 + 12), 0), 7)</x:f>
      </x:c>
      <x:c r="Z5" s="259" t="s">
        <x:v>17</x:v>
      </x:c>
      <x:c r="AA5" s="17">
        <x:f>INDEX(INDIRECT("$A$6:$H$" &amp; $A$27 + $A$6 + 12), MATCH(Z5,INDIRECT("$A$6:$A$" &amp; $A$27 + $A$6 + 12), 0), 7)</x:f>
      </x:c>
      <x:c r="AB5" s="257" t="s">
        <x:v>102</x:v>
      </x:c>
      <x:c r="AC5" s="17">
        <x:f>INDEX(INDIRECT("$A$6:$H$" &amp; $A$27 + $A$6 + 12), MATCH(AB5,INDIRECT("$A$6:$A$" &amp; $A$27 + $A$6 + 12), 0), 7)</x:f>
      </x:c>
      <x:c r="AF5" s="291" t="s">
        <x:v>141</x:v>
      </x:c>
      <x:c r="AG5" s="17">
        <x:f>INDEX(INDIRECT("$A$6:$H$" &amp; $A$27 + $A$6 + 12), MATCH(AF5,INDIRECT("$A$6:$A$" &amp; $A$27 + $A$6 + 12), 0), 7)</x:f>
      </x:c>
      <x:c r="AH5" s="197"/>
      <x:c r="AI5" s="197"/>
      <x:c r="AJ5" s="197"/>
      <x:c r="AK5" s="197"/>
    </x:row>
    <x:row r="6" spans="1:37" ht="15.75" customHeight="1" x14ac:dyDescent="0.3">
      <x:c r="A6" s="113">
        <x:f>MATCH("Среднее",A7:A994,0)-1</x:f>
      </x:c>
      <x:c r="B6" s="2"/>
      <x:c r="C6" s="2"/>
      <x:c r="D6" s="103">
        <x:v>1</x:v>
      </x:c>
      <x:c r="E6" s="103">
        <x:v>2</x:v>
      </x:c>
      <x:c r="F6" s="103">
        <x:v>3</x:v>
      </x:c>
      <x:c r="G6" s="153"/>
      <x:c r="H6" s="2"/>
      <x:c r="I6" s="189"/>
      <x:c r="J6" s="189"/>
      <x:c r="K6" s="189"/>
      <x:c r="L6" s="189"/>
      <x:c r="M6" s="189"/>
      <x:c r="N6" s="189"/>
      <x:c r="O6" s="189"/>
      <x:c r="P6" s="187"/>
      <x:c r="Q6" s="113"/>
      <x:c r="R6" s="2"/>
      <x:c r="T6" s="287" t="s">
        <x:v>130</x:v>
      </x:c>
      <x:c r="U6" s="17">
        <x:f>INDEX(INDIRECT("$A$6:$H$" &amp; $A$27 + $A$6 + 12), MATCH(T6,INDIRECT("$A$6:$A$" &amp; $A$27 + $A$6 + 12), 0), 7)</x:f>
      </x:c>
      <x:c r="V6" s="288" t="s">
        <x:v>128</x:v>
      </x:c>
      <x:c r="W6" s="17">
        <x:f>INDEX(INDIRECT("$A$6:$H$" &amp; $A$27 + $A$6 + 12), MATCH(V6,INDIRECT("$A$6:$A$" &amp; $A$27 + $A$6 + 12), 0), 7)</x:f>
      </x:c>
      <x:c r="X6" s="289" t="s">
        <x:v>147</x:v>
      </x:c>
      <x:c r="Y6" s="17">
        <x:f>INDEX(INDIRECT("$A$6:$H$" &amp; $A$27 + $A$6 + 12), MATCH(X6,INDIRECT("$A$6:$A$" &amp; $A$27 + $A$6 + 12), 0), 7)</x:f>
      </x:c>
      <x:c r="Z6" s="259" t="s">
        <x:v>155</x:v>
      </x:c>
      <x:c r="AA6" s="17">
        <x:f>INDEX(INDIRECT("$A$6:$H$" &amp; $A$27 + $A$6 + 12), MATCH(Z6,INDIRECT("$A$6:$A$" &amp; $A$27 + $A$6 + 12), 0), 7)</x:f>
      </x:c>
      <x:c r="AB6" s="257" t="s">
        <x:v>27</x:v>
      </x:c>
      <x:c r="AC6" s="17">
        <x:f>INDEX(INDIRECT("$A$6:$H$" &amp; $A$27 + $A$6 + 12), MATCH(AB6,INDIRECT("$A$6:$A$" &amp; $A$27 + $A$6 + 12), 0), 7)</x:f>
      </x:c>
      <x:c r="AH6" s="197"/>
      <x:c r="AI6" s="197"/>
      <x:c r="AJ6" s="197"/>
      <x:c r="AK6" s="197"/>
    </x:row>
    <x:row r="7" spans="1:37" ht="15.75" customHeight="1" x14ac:dyDescent="0.3">
      <x:c r="A7" s="271" t="s">
        <x:v>118</x:v>
      </x:c>
      <x:c r="B7" s="16">
        <x:v>90</x:v>
      </x:c>
      <x:c r="C7" s="15">
        <x:v>90</x:v>
      </x:c>
      <x:c r="D7" s="292">
        <x:v>7</x:v>
      </x:c>
      <x:c r="E7" s="15">
        <x:v>10</x:v>
      </x:c>
      <x:c r="F7" s="15">
        <x:v>7</x:v>
      </x:c>
      <x:c r="G7" s="25">
        <x:v>0.007</x:v>
      </x:c>
      <x:c r="H7" s="293">
        <x:f>IF(G7&lt;=0.25,"+","-")</x:f>
      </x:c>
      <x:c r="I7" s="294">
        <x:v>58889</x:v>
      </x:c>
      <x:c r="J7" s="295">
        <x:v>1100</x:v>
      </x:c>
      <x:c r="K7" s="295">
        <x:v>996</x:v>
      </x:c>
      <x:c r="L7" s="295">
        <x:v>42</x:v>
      </x:c>
      <x:c r="M7" s="296">
        <x:v>1.272</x:v>
      </x:c>
      <x:c r="N7" s="296">
        <x:v>0.217</x:v>
      </x:c>
      <x:c r="O7" s="296">
        <x:v>0.5</x:v>
      </x:c>
      <x:c r="P7" s="295" t="s">
        <x:v>188</x:v>
      </x:c>
      <x:c r="Q7" s="297" t="s">
        <x:v>189</x:v>
      </x:c>
      <x:c r="R7" s="194" t="s">
        <x:v>190</x:v>
      </x:c>
      <x:c r="T7" s="287" t="s">
        <x:v>131</x:v>
      </x:c>
      <x:c r="U7" s="17">
        <x:f>INDEX(INDIRECT("$A$6:$H$" &amp; $A$27 + $A$6 + 12), MATCH(T7,INDIRECT("$A$6:$A$" &amp; $A$27 + $A$6 + 12), 0), 7)</x:f>
      </x:c>
      <x:c r="X7" s="289" t="s">
        <x:v>22</x:v>
      </x:c>
      <x:c r="Y7" s="17">
        <x:f>INDEX(INDIRECT("$A$6:$H$" &amp; $A$27 + $A$6 + 12), MATCH(X7,INDIRECT("$A$6:$A$" &amp; $A$27 + $A$6 + 12), 0), 7)</x:f>
      </x:c>
      <x:c r="Z7" s="259" t="s">
        <x:v>124</x:v>
      </x:c>
      <x:c r="AA7" s="17">
        <x:f>INDEX(INDIRECT("$A$6:$H$" &amp; $A$27 + $A$6 + 12), MATCH(Z7,INDIRECT("$A$6:$A$" &amp; $A$27 + $A$6 + 12), 0), 7)</x:f>
      </x:c>
      <x:c r="AB7" s="257" t="s">
        <x:v>150</x:v>
      </x:c>
      <x:c r="AC7" s="17">
        <x:f>INDEX(INDIRECT("$A$6:$H$" &amp; $A$27 + $A$6 + 12), MATCH(AB7,INDIRECT("$A$6:$A$" &amp; $A$27 + $A$6 + 12), 0), 7)</x:f>
      </x:c>
      <x:c r="AH7" s="197"/>
      <x:c r="AI7" s="197"/>
      <x:c r="AJ7" s="197"/>
      <x:c r="AK7" s="197"/>
    </x:row>
    <x:row r="8" spans="1:37" ht="15.75" customHeight="1" x14ac:dyDescent="0.3">
      <x:c r="A8" s="271" t="s">
        <x:v>145</x:v>
      </x:c>
      <x:c r="B8" s="16">
        <x:v>90</x:v>
      </x:c>
      <x:c r="C8" s="15">
        <x:v>90</x:v>
      </x:c>
      <x:c r="D8" s="15">
        <x:v>8</x:v>
      </x:c>
      <x:c r="E8" s="15">
        <x:v>6</x:v>
      </x:c>
      <x:c r="F8" s="15">
        <x:v>6</x:v>
      </x:c>
      <x:c r="G8" s="25">
        <x:v>0.08</x:v>
      </x:c>
      <x:c r="H8" s="293">
        <x:f>IF(G8&lt;=0.25,"+","-")</x:f>
      </x:c>
      <x:c r="I8" s="298">
        <x:v>38128</x:v>
      </x:c>
      <x:c r="J8" s="299">
        <x:v>1355</x:v>
      </x:c>
      <x:c r="K8" s="299">
        <x:v>637</x:v>
      </x:c>
      <x:c r="L8" s="299">
        <x:v>19</x:v>
      </x:c>
      <x:c r="M8" s="300">
        <x:v>1</x:v>
      </x:c>
      <x:c r="N8" s="300">
        <x:v>0.633</x:v>
      </x:c>
      <x:c r="O8" s="300">
        <x:v>2.244</x:v>
      </x:c>
      <x:c r="P8" s="299" t="s">
        <x:v>191</x:v>
      </x:c>
      <x:c r="Q8" s="301" t="s">
        <x:v>192</x:v>
      </x:c>
      <x:c r="R8" s="194"/>
      <x:c r="X8" s="289" t="s">
        <x:v>151</x:v>
      </x:c>
      <x:c r="Y8" s="17">
        <x:f>INDEX(INDIRECT("$A$6:$H$" &amp; $A$27 + $A$6 + 12), MATCH(X8,INDIRECT("$A$6:$A$" &amp; $A$27 + $A$6 + 12), 0), 7)</x:f>
      </x:c>
      <x:c r="AH8" s="197"/>
      <x:c r="AI8" s="197"/>
      <x:c r="AJ8" s="197"/>
      <x:c r="AK8" s="197"/>
    </x:row>
    <x:row r="9" spans="1:37" ht="15.75" customHeight="1" x14ac:dyDescent="0.3">
      <x:c r="A9" s="271" t="s">
        <x:v>148</x:v>
      </x:c>
      <x:c r="B9" s="16">
        <x:v>90</x:v>
      </x:c>
      <x:c r="C9" s="15">
        <x:v>90</x:v>
      </x:c>
      <x:c r="D9" s="15">
        <x:v>10</x:v>
      </x:c>
      <x:c r="E9" s="15">
        <x:v>7</x:v>
      </x:c>
      <x:c r="F9" s="15">
        <x:v>6</x:v>
      </x:c>
      <x:c r="G9" s="25">
        <x:v>0.18</x:v>
      </x:c>
      <x:c r="H9" s="293">
        <x:f>IF(G9&lt;=0.25,"+","-")</x:f>
      </x:c>
      <x:c r="I9" s="298">
        <x:v>19843</x:v>
      </x:c>
      <x:c r="J9" s="299">
        <x:v>2392</x:v>
      </x:c>
      <x:c r="K9" s="299">
        <x:v>892</x:v>
      </x:c>
      <x:c r="L9" s="299">
        <x:v>58</x:v>
      </x:c>
      <x:c r="M9" s="300">
        <x:v>1.11</x:v>
      </x:c>
      <x:c r="N9" s="300">
        <x:v>0.873</x:v>
      </x:c>
      <x:c r="O9" s="300">
        <x:v>1.723</x:v>
      </x:c>
      <x:c r="P9" s="295" t="s">
        <x:v>193</x:v>
      </x:c>
      <x:c r="Q9" s="297" t="s">
        <x:v>194</x:v>
      </x:c>
      <x:c r="R9" s="194"/>
      <x:c r="X9" s="289" t="s">
        <x:v>139</x:v>
      </x:c>
      <x:c r="Y9" s="17">
        <x:f>INDEX(INDIRECT("$A$6:$H$" &amp; $A$27 + $A$6 + 12), MATCH(X9,INDIRECT("$A$6:$A$" &amp; $A$27 + $A$6 + 12), 0), 7)</x:f>
      </x:c>
      <x:c r="AH9" s="197"/>
      <x:c r="AI9" s="197"/>
      <x:c r="AJ9" s="197"/>
      <x:c r="AK9" s="197"/>
    </x:row>
    <x:row r="10" spans="1:37" ht="15.75" customHeight="1" x14ac:dyDescent="0.3">
      <x:c r="A10" s="271" t="s">
        <x:v>135</x:v>
      </x:c>
      <x:c r="B10" s="16">
        <x:v>90</x:v>
      </x:c>
      <x:c r="C10" s="15">
        <x:v>90</x:v>
      </x:c>
      <x:c r="D10" s="15">
        <x:v>6</x:v>
      </x:c>
      <x:c r="E10" s="15">
        <x:v>10</x:v>
      </x:c>
      <x:c r="F10" s="15">
        <x:v>8</x:v>
      </x:c>
      <x:c r="G10" s="25">
        <x:v>0.187</x:v>
      </x:c>
      <x:c r="H10" s="293">
        <x:f>IF(G10&lt;=0.25,"+","-")</x:f>
      </x:c>
      <x:c r="I10" s="294">
        <x:v>41215</x:v>
      </x:c>
      <x:c r="J10" s="295">
        <x:v>1286</x:v>
      </x:c>
      <x:c r="K10" s="295">
        <x:v>807</x:v>
      </x:c>
      <x:c r="L10" s="295">
        <x:v>0</x:v>
      </x:c>
      <x:c r="M10" s="296">
        <x:v>1.214</x:v>
      </x:c>
      <x:c r="N10" s="296">
        <x:v>-0.756</x:v>
      </x:c>
      <x:c r="O10" s="296">
        <x:v>0.562</x:v>
      </x:c>
      <x:c r="P10" s="295" t="s">
        <x:v>195</x:v>
      </x:c>
      <x:c r="Q10" s="297" t="s">
        <x:v>196</x:v>
      </x:c>
      <x:c r="R10" s="194"/>
      <x:c r="AH10" s="197"/>
      <x:c r="AI10" s="197"/>
      <x:c r="AJ10" s="197"/>
      <x:c r="AK10" s="197"/>
    </x:row>
    <x:row r="11" spans="1:37" ht="15.75" customHeight="1" x14ac:dyDescent="0.3">
      <x:c r="A11" s="271" t="s">
        <x:v>133</x:v>
      </x:c>
      <x:c r="B11" s="16">
        <x:v>90</x:v>
      </x:c>
      <x:c r="C11" s="15">
        <x:v>90</x:v>
      </x:c>
      <x:c r="D11" s="15">
        <x:v>8</x:v>
      </x:c>
      <x:c r="E11" s="15">
        <x:v>8</x:v>
      </x:c>
      <x:c r="F11" s="15">
        <x:v>10</x:v>
      </x:c>
      <x:c r="G11" s="25">
        <x:v>0.22</x:v>
      </x:c>
      <x:c r="H11" s="293">
        <x:f>IF(G11&lt;=0.25,"+","-")</x:f>
      </x:c>
      <x:c r="I11" s="302">
        <x:v>19568</x:v>
      </x:c>
      <x:c r="J11" s="299">
        <x:v>1720</x:v>
      </x:c>
      <x:c r="K11" s="299">
        <x:v>969</x:v>
      </x:c>
      <x:c r="L11" s="299">
        <x:v>23</x:v>
      </x:c>
      <x:c r="M11" s="300">
        <x:v>2.297</x:v>
      </x:c>
      <x:c r="N11" s="300">
        <x:v>0.695</x:v>
      </x:c>
      <x:c r="O11" s="300">
        <x:v>1.192</x:v>
      </x:c>
      <x:c r="P11" s="299" t="s">
        <x:v>197</x:v>
      </x:c>
      <x:c r="Q11" s="301" t="s">
        <x:v>198</x:v>
      </x:c>
      <x:c r="R11" s="194"/>
      <x:c r="T11" s="197" t="s">
        <x:v>199</x:v>
      </x:c>
      <x:c r="U11" s="197"/>
      <x:c r="V11" s="197"/>
      <x:c r="W11" s="197"/>
      <x:c r="X11" s="197"/>
      <x:c r="Y11" s="197"/>
      <x:c r="Z11" s="197"/>
      <x:c r="AA11" s="197"/>
      <x:c r="AB11" s="197"/>
      <x:c r="AC11" s="197"/>
      <x:c r="AD11" s="197"/>
      <x:c r="AE11" s="197"/>
      <x:c r="AF11" s="197"/>
      <x:c r="AG11" s="197"/>
      <x:c r="AH11" s="197" t="s">
        <x:v>164</x:v>
      </x:c>
      <x:c r="AI11" s="197"/>
      <x:c r="AJ11" s="197"/>
      <x:c r="AK11" s="197"/>
    </x:row>
    <x:row r="12" spans="1:37" ht="15.75" customHeight="1" x14ac:dyDescent="0.3">
      <x:c r="A12" s="271" t="s">
        <x:v>147</x:v>
      </x:c>
      <x:c r="B12" s="16">
        <x:v>90</x:v>
      </x:c>
      <x:c r="C12" s="15">
        <x:v>90</x:v>
      </x:c>
      <x:c r="D12" s="15">
        <x:v>6</x:v>
      </x:c>
      <x:c r="E12" s="15">
        <x:v>9</x:v>
      </x:c>
      <x:c r="F12" s="15">
        <x:v>6</x:v>
      </x:c>
      <x:c r="G12" s="25">
        <x:v>0.22</x:v>
      </x:c>
      <x:c r="H12" s="293">
        <x:f>IF(G12&lt;=0.25,"+","-")</x:f>
      </x:c>
      <x:c r="I12" s="303">
        <x:v>38192</x:v>
      </x:c>
      <x:c r="J12" s="304">
        <x:v>1304</x:v>
      </x:c>
      <x:c r="K12" s="304">
        <x:v>791</x:v>
      </x:c>
      <x:c r="L12" s="304">
        <x:v>0</x:v>
      </x:c>
      <x:c r="M12" s="305">
        <x:v>1.816</x:v>
      </x:c>
      <x:c r="N12" s="305">
        <x:v>0.611</x:v>
      </x:c>
      <x:c r="O12" s="305">
        <x:v>1.534</x:v>
      </x:c>
      <x:c r="P12" s="304" t="s">
        <x:v>200</x:v>
      </x:c>
      <x:c r="Q12" s="306" t="s">
        <x:v>201</x:v>
      </x:c>
      <x:c r="R12" s="194"/>
      <x:c r="T12" s="197"/>
      <x:c r="U12" s="197"/>
      <x:c r="V12" s="197"/>
      <x:c r="W12" s="197"/>
      <x:c r="X12" s="197"/>
      <x:c r="Y12" s="197"/>
      <x:c r="Z12" s="197"/>
      <x:c r="AA12" s="197"/>
      <x:c r="AB12" s="197"/>
      <x:c r="AC12" s="197"/>
      <x:c r="AD12" s="197"/>
      <x:c r="AE12" s="197"/>
      <x:c r="AF12" s="197"/>
      <x:c r="AG12" s="197"/>
      <x:c r="AH12" s="197"/>
      <x:c r="AI12" s="197"/>
      <x:c r="AJ12" s="197"/>
      <x:c r="AK12" s="197"/>
    </x:row>
    <x:row r="13" spans="1:37" ht="15.75" customHeight="1" x14ac:dyDescent="0.3">
      <x:c r="A13" s="271" t="s">
        <x:v>130</x:v>
      </x:c>
      <x:c r="B13" s="16">
        <x:v>90</x:v>
      </x:c>
      <x:c r="C13" s="15">
        <x:v>80</x:v>
      </x:c>
      <x:c r="D13" s="15">
        <x:v>7</x:v>
      </x:c>
      <x:c r="E13" s="15">
        <x:v>6</x:v>
      </x:c>
      <x:c r="F13" s="15">
        <x:v>9</x:v>
      </x:c>
      <x:c r="G13" s="25">
        <x:v>0.221</x:v>
      </x:c>
      <x:c r="H13" s="293">
        <x:f>IF(G13&lt;=0.25,"+","-")</x:f>
      </x:c>
      <x:c r="I13" s="302">
        <x:v>19643</x:v>
      </x:c>
      <x:c r="J13" s="299">
        <x:v>1664</x:v>
      </x:c>
      <x:c r="K13" s="299">
        <x:v>945</x:v>
      </x:c>
      <x:c r="L13" s="299">
        <x:v>77</x:v>
      </x:c>
      <x:c r="M13" s="300">
        <x:v>1.214</x:v>
      </x:c>
      <x:c r="N13" s="300">
        <x:v>0.567</x:v>
      </x:c>
      <x:c r="O13" s="300">
        <x:v>2.113</x:v>
      </x:c>
      <x:c r="P13" s="299" t="s">
        <x:v>202</x:v>
      </x:c>
      <x:c r="Q13" s="307" t="s">
        <x:v>203</x:v>
      </x:c>
      <x:c r="R13" s="194"/>
      <x:c r="T13" s="287" t="s">
        <x:v>55</x:v>
      </x:c>
      <x:c r="U13" s="308">
        <x:f>INDEX(INDIRECT("$A$" &amp; $A$27 + $A$6 + 21 &amp; ":$H$" &amp; $A$27 + $A$6 + 20 + $A$44 + 6 + $A$59), MATCH(T13,INDIRECT("$A$" &amp; $A$27 + $A$6 + 21 &amp; ":$A$" &amp; $A$27 + $A$6 + 20 + $A$44 + 6 + $A$59), 0), 8)</x:f>
      </x:c>
      <x:c r="V13" s="288" t="s">
        <x:v>34</x:v>
      </x:c>
      <x:c r="W13" s="308">
        <x:f>INDEX(INDIRECT("$A$" &amp; $A$27 + $A$6 + 21 &amp; ":$H$" &amp; $A$27 + $A$6 + 20 + $A$44 + 6 + $A$59), MATCH(V13,INDIRECT("$A$" &amp; $A$27 + $A$6 + 21 &amp; ":$A$" &amp; $A$27 + $A$6 + 20 + $A$44 + 6 + $A$59), 0), 8)</x:f>
      </x:c>
      <x:c r="X13" s="289" t="s">
        <x:v>47</x:v>
      </x:c>
      <x:c r="Y13" s="308">
        <x:f>INDEX(INDIRECT("$A$" &amp; $A$27 + $A$6 + 21 &amp; ":$H$" &amp; $A$27 + $A$6 + 20 + $A$44 + 6 + $A$59), MATCH(X13,INDIRECT("$A$" &amp; $A$27 + $A$6 + 21 &amp; ":$A$" &amp; $A$27 + $A$6 + 20 + $A$44 + 6 + $A$59), 0), 8)</x:f>
      </x:c>
      <x:c r="Z13" s="259" t="s">
        <x:v>11</x:v>
      </x:c>
      <x:c r="AA13" s="308">
        <x:f>INDEX(INDIRECT("$A$" &amp; $A$27 + $A$6 + 21 &amp; ":$H$" &amp; $A$27 + $A$6 + 20 + $A$44 + 6 + $A$59), MATCH(Z13,INDIRECT("$A$" &amp; $A$27 + $A$6 + 21 &amp; ":$A$" &amp; $A$27 + $A$6 + 20 + $A$44 + 6 + $A$59), 0), 8)</x:f>
      </x:c>
      <x:c r="AB13" s="257" t="s">
        <x:v>44</x:v>
      </x:c>
      <x:c r="AC13" s="308">
        <x:f>INDEX(INDIRECT("$A$" &amp; $A$27 + $A$6 + 21 &amp; ":$H$" &amp; $A$27 + $A$6 + 20 + $A$44 + 6 + $A$59), MATCH(AB13,INDIRECT("$A$" &amp; $A$27 + $A$6 + 21 &amp; ":$A$" &amp; $A$27 + $A$6 + 20 + $A$44 + 6 + $A$59), 0), 8)</x:f>
      </x:c>
      <x:c r="AD13" s="290" t="s">
        <x:v>25</x:v>
      </x:c>
      <x:c r="AE13" s="308">
        <x:f>INDEX(INDIRECT("$A$" &amp; $A$27 + $A$6 + 21 &amp; ":$H$" &amp; $A$27 + $A$6 + 20 + $A$44 + 6 + $A$59), MATCH(AD13,INDIRECT("$A$" &amp; $A$27 + $A$6 + 21 &amp; ":$A$" &amp; $A$27 + $A$6 + 20 + $A$44 + 6 + $A$59), 0), 8)</x:f>
      </x:c>
      <x:c r="AF13" s="291" t="s">
        <x:v>63</x:v>
      </x:c>
      <x:c r="AG13" s="308">
        <x:f>INDEX(INDIRECT("$A$" &amp; $A$27 + $A$6 + 21 &amp; ":$H$" &amp; $A$27 + $A$6 + 20 + $A$44 + 6 + $A$59), MATCH(AF13,INDIRECT("$A$" &amp; $A$27 + $A$6 + 21 &amp; ":$A$" &amp; $A$27 + $A$6 + 20 + $A$44 + 6 + $A$59), 0), 8)</x:f>
      </x:c>
      <x:c r="AH13" s="197">
        <x:f>COUNTIFS(T13:AG16,"+") &amp; "/" &amp; COUNTIF(T13:AG16,"?*") - COUNTIF(T13:AG16,"+") - COUNTIF(T13:AG16,"-") &amp; " (" &amp; ROUND(((COUNTIFS(T13:AG16,"+"))*100)/(COUNTIF(T13:AG16,"?*") - COUNTIF(T13:AG16,"+") - COUNTIF(T13:AG16,"-")), 0) &amp; "%)"</x:f>
      </x:c>
      <x:c r="AI13" s="197"/>
      <x:c r="AJ13" s="197"/>
      <x:c r="AK13" s="197"/>
    </x:row>
    <x:row r="14" spans="1:37" ht="15.75" customHeight="1" x14ac:dyDescent="0.3">
      <x:c r="A14" s="271" t="s">
        <x:v>128</x:v>
      </x:c>
      <x:c r="B14" s="16">
        <x:v>90</x:v>
      </x:c>
      <x:c r="C14" s="15">
        <x:v>80</x:v>
      </x:c>
      <x:c r="D14" s="105">
        <x:v>6</x:v>
      </x:c>
      <x:c r="E14" s="15">
        <x:v>6</x:v>
      </x:c>
      <x:c r="F14" s="15">
        <x:v>7</x:v>
      </x:c>
      <x:c r="G14" s="25">
        <x:v>0.233</x:v>
      </x:c>
      <x:c r="H14" s="293">
        <x:f>IF(G14&lt;=0.25,"+","-")</x:f>
      </x:c>
      <x:c r="I14" s="309">
        <x:v>21402</x:v>
      </x:c>
      <x:c r="J14" s="304">
        <x:v>1269</x:v>
      </x:c>
      <x:c r="K14" s="304">
        <x:v>854</x:v>
      </x:c>
      <x:c r="L14" s="304">
        <x:v>944</x:v>
      </x:c>
      <x:c r="M14" s="305">
        <x:v>1.259</x:v>
      </x:c>
      <x:c r="N14" s="305">
        <x:v>0.291</x:v>
      </x:c>
      <x:c r="O14" s="305">
        <x:v>0.842</x:v>
      </x:c>
      <x:c r="P14" s="304" t="s">
        <x:v>204</x:v>
      </x:c>
      <x:c r="Q14" s="306" t="s">
        <x:v>205</x:v>
      </x:c>
      <x:c r="R14" s="194"/>
      <x:c r="T14" s="287" t="s">
        <x:v>154</x:v>
      </x:c>
      <x:c r="U14" s="308">
        <x:f>INDEX(INDIRECT("$A$" &amp; $A$27 + $A$6 + 21 &amp; ":$H$" &amp; $A$27 + $A$6 + 20 + $A$44 + 6 + $A$59), MATCH(T14,INDIRECT("$A$" &amp; $A$27 + $A$6 + 21 &amp; ":$A$" &amp; $A$27 + $A$6 + 20 + $A$44 + 6 + $A$59), 0), 8)</x:f>
      </x:c>
      <x:c r="V14" s="288" t="s">
        <x:v>153</x:v>
      </x:c>
      <x:c r="W14" s="308">
        <x:f>INDEX(INDIRECT("$A$" &amp; $A$27 + $A$6 + 21 &amp; ":$H$" &amp; $A$27 + $A$6 + 20 + $A$44 + 6 + $A$59), MATCH(V14,INDIRECT("$A$" &amp; $A$27 + $A$6 + 21 &amp; ":$A$" &amp; $A$27 + $A$6 + 20 + $A$44 + 6 + $A$59), 0), 8)</x:f>
      </x:c>
      <x:c r="Z14" s="259" t="s">
        <x:v>50</x:v>
      </x:c>
      <x:c r="AA14" s="308">
        <x:f>INDEX(INDIRECT("$A$" &amp; $A$27 + $A$6 + 21 &amp; ":$H$" &amp; $A$27 + $A$6 + 20 + $A$44 + 6 + $A$59), MATCH(Z14,INDIRECT("$A$" &amp; $A$27 + $A$6 + 21 &amp; ":$A$" &amp; $A$27 + $A$6 + 20 + $A$44 + 6 + $A$59), 0), 8)</x:f>
      </x:c>
      <x:c r="AB14" s="257" t="s">
        <x:v>51</x:v>
      </x:c>
      <x:c r="AC14" s="308">
        <x:f>INDEX(INDIRECT("$A$" &amp; $A$27 + $A$6 + 21 &amp; ":$H$" &amp; $A$27 + $A$6 + 20 + $A$44 + 6 + $A$59), MATCH(AB14,INDIRECT("$A$" &amp; $A$27 + $A$6 + 21 &amp; ":$A$" &amp; $A$27 + $A$6 + 20 + $A$44 + 6 + $A$59), 0), 8)</x:f>
      </x:c>
      <x:c r="AD14" s="290" t="s">
        <x:v>48</x:v>
      </x:c>
      <x:c r="AE14" s="308">
        <x:f>INDEX(INDIRECT("$A$" &amp; $A$27 + $A$6 + 21 &amp; ":$H$" &amp; $A$27 + $A$6 + 20 + $A$44 + 6 + $A$59), MATCH(AD14,INDIRECT("$A$" &amp; $A$27 + $A$6 + 21 &amp; ":$A$" &amp; $A$27 + $A$6 + 20 + $A$44 + 6 + $A$59), 0), 8)</x:f>
      </x:c>
      <x:c r="AF14" s="291" t="s">
        <x:v>41</x:v>
      </x:c>
      <x:c r="AG14" s="308">
        <x:f>INDEX(INDIRECT("$A$" &amp; $A$27 + $A$6 + 21 &amp; ":$H$" &amp; $A$27 + $A$6 + 20 + $A$44 + 6 + $A$59), MATCH(AF14,INDIRECT("$A$" &amp; $A$27 + $A$6 + 21 &amp; ":$A$" &amp; $A$27 + $A$6 + 20 + $A$44 + 6 + $A$59), 0), 8)</x:f>
      </x:c>
      <x:c r="AH14" s="197"/>
      <x:c r="AI14" s="197"/>
      <x:c r="AJ14" s="197"/>
      <x:c r="AK14" s="197"/>
    </x:row>
    <x:row r="15" spans="1:37" ht="15.75" customHeight="1" x14ac:dyDescent="0.3">
      <x:c r="A15" s="257" t="s">
        <x:v>17</x:v>
      </x:c>
      <x:c r="B15" s="16">
        <x:v>90</x:v>
      </x:c>
      <x:c r="C15" s="295">
        <x:v>90</x:v>
      </x:c>
      <x:c r="D15" s="15">
        <x:v>6</x:v>
      </x:c>
      <x:c r="E15" s="15">
        <x:v>6</x:v>
      </x:c>
      <x:c r="F15" s="15">
        <x:v>6</x:v>
      </x:c>
      <x:c r="G15" s="25">
        <x:v>0.25</x:v>
      </x:c>
      <x:c r="H15" s="293">
        <x:f>IF(G15&lt;=0.25,"+","-")</x:f>
      </x:c>
      <x:c r="I15" s="309">
        <x:v>17683</x:v>
      </x:c>
      <x:c r="J15" s="304">
        <x:v>1187</x:v>
      </x:c>
      <x:c r="K15" s="304">
        <x:v>872</x:v>
      </x:c>
      <x:c r="L15" s="304">
        <x:v>96</x:v>
      </x:c>
      <x:c r="M15" s="305">
        <x:v>2.316</x:v>
      </x:c>
      <x:c r="N15" s="305">
        <x:v>0.606</x:v>
      </x:c>
      <x:c r="O15" s="305">
        <x:v>1.316</x:v>
      </x:c>
      <x:c r="P15" s="304" t="s">
        <x:v>197</x:v>
      </x:c>
      <x:c r="Q15" s="306" t="s">
        <x:v>206</x:v>
      </x:c>
      <x:c r="R15" s="194"/>
      <x:c r="V15" s="288" t="s">
        <x:v>56</x:v>
      </x:c>
      <x:c r="W15" s="308">
        <x:f>INDEX(INDIRECT("$A$" &amp; $A$27 + $A$6 + 21 &amp; ":$H$" &amp; $A$27 + $A$6 + 20 + $A$44 + 6 + $A$59), MATCH(V15,INDIRECT("$A$" &amp; $A$27 + $A$6 + 21 &amp; ":$A$" &amp; $A$27 + $A$6 + 20 + $A$44 + 6 + $A$59), 0), 8)</x:f>
      </x:c>
      <x:c r="Z15" s="259" t="s">
        <x:v>38</x:v>
      </x:c>
      <x:c r="AA15" s="308">
        <x:f>INDEX(INDIRECT("$A$" &amp; $A$27 + $A$6 + 21 &amp; ":$H$" &amp; $A$27 + $A$6 + 20 + $A$44 + 6 + $A$59), MATCH(Z15,INDIRECT("$A$" &amp; $A$27 + $A$6 + 21 &amp; ":$A$" &amp; $A$27 + $A$6 + 20 + $A$44 + 6 + $A$59), 0), 8)</x:f>
      </x:c>
      <x:c r="AB15" s="257" t="s">
        <x:v>46</x:v>
      </x:c>
      <x:c r="AC15" s="308">
        <x:f>INDEX(INDIRECT("$A$" &amp; $A$27 + $A$6 + 21 &amp; ":$H$" &amp; $A$27 + $A$6 + 20 + $A$44 + 6 + $A$59), MATCH(AB15,INDIRECT("$A$" &amp; $A$27 + $A$6 + 21 &amp; ":$A$" &amp; $A$27 + $A$6 + 20 + $A$44 + 6 + $A$59), 0), 8)</x:f>
      </x:c>
      <x:c r="AD15" s="290" t="s">
        <x:v>43</x:v>
      </x:c>
      <x:c r="AE15" s="308">
        <x:f>INDEX(INDIRECT("$A$" &amp; $A$27 + $A$6 + 21 &amp; ":$H$" &amp; $A$27 + $A$6 + 20 + $A$44 + 6 + $A$59), MATCH(AD15,INDIRECT("$A$" &amp; $A$27 + $A$6 + 21 &amp; ":$A$" &amp; $A$27 + $A$6 + 20 + $A$44 + 6 + $A$59), 0), 8)</x:f>
      </x:c>
      <x:c r="AF15" s="291" t="s">
        <x:v>58</x:v>
      </x:c>
      <x:c r="AG15" s="308">
        <x:f>INDEX(INDIRECT("$A$" &amp; $A$27 + $A$6 + 21 &amp; ":$H$" &amp; $A$27 + $A$6 + 20 + $A$44 + 6 + $A$59), MATCH(AF15,INDIRECT("$A$" &amp; $A$27 + $A$6 + 21 &amp; ":$A$" &amp; $A$27 + $A$6 + 20 + $A$44 + 6 + $A$59), 0), 8)</x:f>
      </x:c>
      <x:c r="AH15" s="197"/>
      <x:c r="AI15" s="197"/>
      <x:c r="AJ15" s="197"/>
      <x:c r="AK15" s="197"/>
    </x:row>
    <x:row r="16" spans="1:37" ht="15.75" customHeight="1" x14ac:dyDescent="0.3">
      <x:c r="A16" s="271" t="s">
        <x:v>155</x:v>
      </x:c>
      <x:c r="B16" s="16">
        <x:v>90</x:v>
      </x:c>
      <x:c r="C16" s="15">
        <x:v>90</x:v>
      </x:c>
      <x:c r="D16" s="15">
        <x:v>6</x:v>
      </x:c>
      <x:c r="E16" s="15">
        <x:v>8</x:v>
      </x:c>
      <x:c r="F16" s="15">
        <x:v>8</x:v>
      </x:c>
      <x:c r="G16" s="25">
        <x:v>0.32</x:v>
      </x:c>
      <x:c r="H16" s="293">
        <x:f>IF(G16&lt;=0.25,"+","-")</x:f>
      </x:c>
      <x:c r="I16" s="298">
        <x:v>18258</x:v>
      </x:c>
      <x:c r="J16" s="299">
        <x:v>2695</x:v>
      </x:c>
      <x:c r="K16" s="299">
        <x:v>847</x:v>
      </x:c>
      <x:c r="L16" s="299">
        <x:v>63</x:v>
      </x:c>
      <x:c r="M16" s="300">
        <x:v>1.207</x:v>
      </x:c>
      <x:c r="N16" s="300">
        <x:v>0.381</x:v>
      </x:c>
      <x:c r="O16" s="300">
        <x:v>2.213</x:v>
      </x:c>
      <x:c r="P16" s="299" t="s">
        <x:v>207</x:v>
      </x:c>
      <x:c r="Q16" s="301" t="s">
        <x:v>208</x:v>
      </x:c>
      <x:c r="R16" s="194"/>
      <x:c r="AB16" s="257" t="s">
        <x:v>68</x:v>
      </x:c>
      <x:c r="AC16" s="308">
        <x:f>INDEX(INDIRECT("$A$" &amp; $A$27 + $A$6 + 21 &amp; ":$H$" &amp; $A$27 + $A$6 + 20 + $A$44 + 6 + $A$59), MATCH(AB16,INDIRECT("$A$" &amp; $A$27 + $A$6 + 21 &amp; ":$A$" &amp; $A$27 + $A$6 + 20 + $A$44 + 6 + $A$59), 0), 8)</x:f>
      </x:c>
      <x:c r="AD16" s="290" t="s">
        <x:v>152</x:v>
      </x:c>
      <x:c r="AE16" s="308">
        <x:f>INDEX(INDIRECT("$A$" &amp; $A$27 + $A$6 + 21 &amp; ":$H$" &amp; $A$27 + $A$6 + 20 + $A$44 + 6 + $A$59), MATCH(AD16,INDIRECT("$A$" &amp; $A$27 + $A$6 + 21 &amp; ":$A$" &amp; $A$27 + $A$6 + 20 + $A$44 + 6 + $A$59), 0), 8)</x:f>
      </x:c>
      <x:c r="AH16" s="197"/>
      <x:c r="AI16" s="197"/>
      <x:c r="AJ16" s="197"/>
      <x:c r="AK16" s="197"/>
    </x:row>
    <x:row r="17" spans="1:37" ht="15.75" customHeight="1" x14ac:dyDescent="0.3">
      <x:c r="A17" s="257" t="s">
        <x:v>22</x:v>
      </x:c>
      <x:c r="B17" s="16">
        <x:v>90</x:v>
      </x:c>
      <x:c r="C17" s="15">
        <x:v>90</x:v>
      </x:c>
      <x:c r="D17" s="15">
        <x:v>6</x:v>
      </x:c>
      <x:c r="E17" s="15">
        <x:v>6</x:v>
      </x:c>
      <x:c r="F17" s="310">
        <x:v>7</x:v>
      </x:c>
      <x:c r="G17" s="25">
        <x:v>0.37</x:v>
      </x:c>
      <x:c r="H17" s="293">
        <x:f>IF(G17&lt;=0.25,"+","-")</x:f>
      </x:c>
      <x:c r="I17" s="302">
        <x:v>15868</x:v>
      </x:c>
      <x:c r="J17" s="299">
        <x:v>1653</x:v>
      </x:c>
      <x:c r="K17" s="299">
        <x:v>158</x:v>
      </x:c>
      <x:c r="L17" s="299">
        <x:v>100</x:v>
      </x:c>
      <x:c r="M17" s="300">
        <x:v>1.8</x:v>
      </x:c>
      <x:c r="N17" s="300">
        <x:v>0.493</x:v>
      </x:c>
      <x:c r="O17" s="300">
        <x:v>0.904</x:v>
      </x:c>
      <x:c r="P17" s="295" t="s">
        <x:v>209</x:v>
      </x:c>
      <x:c r="Q17" s="301" t="s">
        <x:v>210</x:v>
      </x:c>
      <x:c r="R17" s="194"/>
      <x:c r="T17" s="197" t="s">
        <x:v>211</x:v>
      </x:c>
      <x:c r="U17" s="197"/>
      <x:c r="V17" s="197"/>
      <x:c r="W17" s="197"/>
      <x:c r="X17" s="197"/>
      <x:c r="Y17" s="197"/>
      <x:c r="Z17" s="197"/>
      <x:c r="AA17" s="197"/>
      <x:c r="AB17" s="197"/>
      <x:c r="AC17" s="197"/>
      <x:c r="AD17" s="197"/>
      <x:c r="AE17" s="197"/>
      <x:c r="AF17" s="197"/>
      <x:c r="AG17" s="197"/>
      <x:c r="AH17" s="197" t="s">
        <x:v>164</x:v>
      </x:c>
      <x:c r="AI17" s="197"/>
      <x:c r="AJ17" s="197"/>
      <x:c r="AK17" s="197"/>
    </x:row>
    <x:row r="18" spans="1:37" ht="15.75" customHeight="1" x14ac:dyDescent="0.3">
      <x:c r="A18" s="271" t="s">
        <x:v>151</x:v>
      </x:c>
      <x:c r="B18" s="16">
        <x:v>80</x:v>
      </x:c>
      <x:c r="C18" s="15">
        <x:v>90</x:v>
      </x:c>
      <x:c r="D18" s="15">
        <x:v>6</x:v>
      </x:c>
      <x:c r="E18" s="15">
        <x:v>6</x:v>
      </x:c>
      <x:c r="F18" s="15">
        <x:v>6</x:v>
      </x:c>
      <x:c r="G18" s="25">
        <x:v>0.47</x:v>
      </x:c>
      <x:c r="H18" s="293">
        <x:f>IF(G18&lt;=0.25,"+","-")</x:f>
      </x:c>
      <x:c r="I18" s="303">
        <x:v>35175</x:v>
      </x:c>
      <x:c r="J18" s="304">
        <x:v>1176</x:v>
      </x:c>
      <x:c r="K18" s="304">
        <x:v>609</x:v>
      </x:c>
      <x:c r="L18" s="304">
        <x:v>77</x:v>
      </x:c>
      <x:c r="M18" s="305">
        <x:v>1.24</x:v>
      </x:c>
      <x:c r="N18" s="305">
        <x:v>0.287</x:v>
      </x:c>
      <x:c r="O18" s="305">
        <x:v>1.829</x:v>
      </x:c>
      <x:c r="P18" s="304" t="s">
        <x:v>212</x:v>
      </x:c>
      <x:c r="Q18" s="306" t="s">
        <x:v>213</x:v>
      </x:c>
      <x:c r="R18" s="194"/>
      <x:c r="T18" s="197"/>
      <x:c r="U18" s="197"/>
      <x:c r="V18" s="197"/>
      <x:c r="W18" s="197"/>
      <x:c r="X18" s="197"/>
      <x:c r="Y18" s="197"/>
      <x:c r="Z18" s="197"/>
      <x:c r="AA18" s="197"/>
      <x:c r="AB18" s="197"/>
      <x:c r="AC18" s="197"/>
      <x:c r="AD18" s="197"/>
      <x:c r="AE18" s="197"/>
      <x:c r="AF18" s="197"/>
      <x:c r="AG18" s="197"/>
      <x:c r="AH18" s="197"/>
      <x:c r="AI18" s="197"/>
      <x:c r="AJ18" s="197"/>
      <x:c r="AK18" s="197"/>
    </x:row>
    <x:row r="19" spans="1:37" ht="15.75" customHeight="1" x14ac:dyDescent="0.3">
      <x:c r="A19" s="271" t="s">
        <x:v>141</x:v>
      </x:c>
      <x:c r="B19" s="16">
        <x:v>90</x:v>
      </x:c>
      <x:c r="C19" s="15">
        <x:v>90</x:v>
      </x:c>
      <x:c r="D19" s="15">
        <x:v>6</x:v>
      </x:c>
      <x:c r="E19" s="15">
        <x:v>8</x:v>
      </x:c>
      <x:c r="F19" s="15">
        <x:v>8</x:v>
      </x:c>
      <x:c r="G19" s="25">
        <x:v>0.91</x:v>
      </x:c>
      <x:c r="H19" s="293">
        <x:f>IF(G19&lt;=0.25,"+","-")</x:f>
      </x:c>
      <x:c r="I19" s="298">
        <x:v>16866</x:v>
      </x:c>
      <x:c r="J19" s="299">
        <x:v>1363</x:v>
      </x:c>
      <x:c r="K19" s="299">
        <x:v>708</x:v>
      </x:c>
      <x:c r="L19" s="299">
        <x:v>622</x:v>
      </x:c>
      <x:c r="M19" s="300">
        <x:v>1.512</x:v>
      </x:c>
      <x:c r="N19" s="300">
        <x:v>0.12</x:v>
      </x:c>
      <x:c r="O19" s="300">
        <x:v>0.562</x:v>
      </x:c>
      <x:c r="P19" s="299" t="s">
        <x:v>214</x:v>
      </x:c>
      <x:c r="Q19" s="301" t="s">
        <x:v>215</x:v>
      </x:c>
      <x:c r="R19" s="195"/>
      <x:c r="T19" s="287" t="s">
        <x:v>216</x:v>
      </x:c>
      <x:c r="U19" s="308">
        <x:f>INDEX(INDIRECT("$A$" &amp; 6 + $A$6 + 6 + $A$27 + 8 + $A$44 + 6 + $A$59 + 7 &amp; ":$H$" &amp; 6 + $A$6 + 6 + $A$27 + 8 + $A$44 + 6 + $A$59 + 8 + $A$76), MATCH(T19,INDIRECT("$A$" &amp; 6 + $A$6 + 6 + $A$27 + 8 + $A$44 + 6 + $A$59 + 7 &amp; ":$A$" &amp; 6 + $A$6 + 6 + $A$27 + 8 + $A$44 + 6 + $A$59 + 8 + $A$76), 0), 7)</x:f>
      </x:c>
      <x:c r="V19" s="288" t="s">
        <x:v>35</x:v>
      </x:c>
      <x:c r="W19" s="308">
        <x:f>INDEX(INDIRECT("$A$" &amp; 6 + $A$6 + 6 + $A$27 + 8 + $A$44 + 6 + $A$59 + 7 &amp; ":$H$" &amp; 6 + $A$6 + 6 + $A$27 + 8 + $A$44 + 6 + $A$59 + 8 + $A$76), MATCH(V19,INDIRECT("$A$" &amp; 6 + $A$6 + 6 + $A$27 + 8 + $A$44 + 6 + $A$59 + 7 &amp; ":$A$" &amp; 6 + $A$6 + 6 + $A$27 + 8 + $A$44 + 6 + $A$59 + 8 + $A$76), 0), 7)</x:f>
      </x:c>
      <x:c r="X19" s="289" t="s">
        <x:v>42</x:v>
      </x:c>
      <x:c r="Y19" s="308">
        <x:f>INDEX(INDIRECT("$A$" &amp; 6 + $A$6 + 6 + $A$27 + 8 + $A$44 + 6 + $A$59 + 7 &amp; ":$H$" &amp; 6 + $A$6 + 6 + $A$27 + 8 + $A$44 + 6 + $A$59 + 8 + $A$76), MATCH(X19,INDIRECT("$A$" &amp; 6 + $A$6 + 6 + $A$27 + 8 + $A$44 + 6 + $A$59 + 7 &amp; ":$A$" &amp; 6 + $A$6 + 6 + $A$27 + 8 + $A$44 + 6 + $A$59 + 8 + $A$76), 0), 7)</x:f>
      </x:c>
      <x:c r="Z19" s="259" t="s">
        <x:v>217</x:v>
      </x:c>
      <x:c r="AA19" s="308">
        <x:f>INDEX(INDIRECT("$A$" &amp; 6 + $A$6 + 6 + $A$27 + 8 + $A$44 + 6 + $A$59 + 7 &amp; ":$H$" &amp; 6 + $A$6 + 6 + $A$27 + 8 + $A$44 + 6 + $A$59 + 8 + $A$76), MATCH(Z19,INDIRECT("$A$" &amp; 6 + $A$6 + 6 + $A$27 + 8 + $A$44 + 6 + $A$59 + 7 &amp; ":$A$" &amp; 6 + $A$6 + 6 + $A$27 + 8 + $A$44 + 6 + $A$59 + 8 + $A$76), 0), 7)</x:f>
      </x:c>
      <x:c r="AB19" s="257" t="s">
        <x:v>66</x:v>
      </x:c>
      <x:c r="AC19" s="308">
        <x:f>INDEX(INDIRECT("$A$" &amp; 6 + $A$6 + 6 + $A$27 + 8 + $A$44 + 6 + $A$59 + 7 &amp; ":$H$" &amp; 6 + $A$6 + 6 + $A$27 + 8 + $A$44 + 6 + $A$59 + 8 + $A$76), MATCH(AB19,INDIRECT("$A$" &amp; 6 + $A$6 + 6 + $A$27 + 8 + $A$44 + 6 + $A$59 + 7 &amp; ":$A$" &amp; 6 + $A$6 + 6 + $A$27 + 8 + $A$44 + 6 + $A$59 + 8 + $A$76), 0), 7)</x:f>
      </x:c>
      <x:c r="AD19" s="290" t="s">
        <x:v>37</x:v>
      </x:c>
      <x:c r="AE19" s="308">
        <x:f>INDEX(INDIRECT("$A$" &amp; 6 + $A$6 + 6 + $A$27 + 8 + $A$44 + 6 + $A$59 + 7 &amp; ":$H$" &amp; 6 + $A$6 + 6 + $A$27 + 8 + $A$44 + 6 + $A$59 + 8 + $A$76), MATCH(AD19,INDIRECT("$A$" &amp; 6 + $A$6 + 6 + $A$27 + 8 + $A$44 + 6 + $A$59 + 7 &amp; ":$A$" &amp; 6 + $A$6 + 6 + $A$27 + 8 + $A$44 + 6 + $A$59 + 8 + $A$76), 0), 7)</x:f>
      </x:c>
      <x:c r="AF19" s="291" t="s">
        <x:v>57</x:v>
      </x:c>
      <x:c r="AG19" s="308">
        <x:f>INDEX(INDIRECT("$A$" &amp; 6 + $A$6 + 6 + $A$27 + 8 + $A$44 + 6 + $A$59 + 7 &amp; ":$H$" &amp; 6 + $A$6 + 6 + $A$27 + 8 + $A$44 + 6 + $A$59 + 8 + $A$76), MATCH(AF19,INDIRECT("$A$" &amp; 6 + $A$6 + 6 + $A$27 + 8 + $A$44 + 6 + $A$59 + 7 &amp; ":$A$" &amp; 6 + $A$6 + 6 + $A$27 + 8 + $A$44 + 6 + $A$59 + 8 + $A$76), 0), 7)</x:f>
      </x:c>
      <x:c r="AH19" s="197">
        <x:f>COUNTIFS(T19:AG27,"+") &amp; "/" &amp; COUNTIF(T19:AG27,"?*") - COUNTIF(T19:AG27,"+") - COUNTIF(T19:AG27,"-") &amp; " (" &amp; ROUND(((COUNTIFS(T19:AG27,"+"))*100)/(COUNTIF(T19:AG27,"?*") - COUNTIF(T19:AG27,"+") - COUNTIF(T19:AG27,"-")), 0) &amp; "%)"</x:f>
      </x:c>
      <x:c r="AI19" s="197"/>
      <x:c r="AJ19" s="197"/>
      <x:c r="AK19" s="197"/>
    </x:row>
    <x:row r="20" spans="1:37" ht="15.75" customHeight="1" x14ac:dyDescent="0.3">
      <x:c r="A20" s="271" t="s">
        <x:v>131</x:v>
      </x:c>
      <x:c r="B20" s="16">
        <x:v>80</x:v>
      </x:c>
      <x:c r="C20" s="15">
        <x:v>50</x:v>
      </x:c>
      <x:c r="D20" s="15">
        <x:v>4</x:v>
      </x:c>
      <x:c r="E20" s="15">
        <x:v>7</x:v>
      </x:c>
      <x:c r="F20" s="15">
        <x:v>6</x:v>
      </x:c>
      <x:c r="G20" s="25">
        <x:v>0.95</x:v>
      </x:c>
      <x:c r="H20" s="293">
        <x:f>IF(G20&lt;=0.25,"+","-")</x:f>
      </x:c>
      <x:c r="I20" s="302"/>
      <x:c r="J20" s="299">
        <x:v>756</x:v>
      </x:c>
      <x:c r="K20" s="299"/>
      <x:c r="L20" s="299"/>
      <x:c r="M20" s="300">
        <x:v>1.141</x:v>
      </x:c>
      <x:c r="N20" s="300">
        <x:v>0.385</x:v>
      </x:c>
      <x:c r="O20" s="300">
        <x:v>0.842</x:v>
      </x:c>
      <x:c r="P20" s="299"/>
      <x:c r="Q20" s="301" t="s">
        <x:v>218</x:v>
      </x:c>
      <x:c r="R20" s="115" t="s">
        <x:v>219</x:v>
      </x:c>
      <x:c r="T20" s="287" t="s">
        <x:v>31</x:v>
      </x:c>
      <x:c r="U20" s="308">
        <x:f>INDEX(INDIRECT("$A$" &amp; 6 + $A$6 + 6 + $A$27 + 8 + $A$44 + 6 + $A$59 + 7 &amp; ":$H$" &amp; 6 + $A$6 + 6 + $A$27 + 8 + $A$44 + 6 + $A$59 + 8 + $A$76), MATCH(T20,INDIRECT("$A$" &amp; 6 + $A$6 + 6 + $A$27 + 8 + $A$44 + 6 + $A$59 + 7 &amp; ":$A$" &amp; 6 + $A$6 + 6 + $A$27 + 8 + $A$44 + 6 + $A$59 + 8 + $A$76), 0), 7)</x:f>
      </x:c>
      <x:c r="V20" s="288" t="s">
        <x:v>53</x:v>
      </x:c>
      <x:c r="W20" s="308">
        <x:f>INDEX(INDIRECT("$A$" &amp; 6 + $A$6 + 6 + $A$27 + 8 + $A$44 + 6 + $A$59 + 7 &amp; ":$H$" &amp; 6 + $A$6 + 6 + $A$27 + 8 + $A$44 + 6 + $A$59 + 8 + $A$76), MATCH(V20,INDIRECT("$A$" &amp; 6 + $A$6 + 6 + $A$27 + 8 + $A$44 + 6 + $A$59 + 7 &amp; ":$A$" &amp; 6 + $A$6 + 6 + $A$27 + 8 + $A$44 + 6 + $A$59 + 8 + $A$76), 0), 7)</x:f>
      </x:c>
      <x:c r="X20" s="289" t="s">
        <x:v>70</x:v>
      </x:c>
      <x:c r="Y20" s="308">
        <x:f>INDEX(INDIRECT("$A$" &amp; 6 + $A$6 + 6 + $A$27 + 8 + $A$44 + 6 + $A$59 + 7 &amp; ":$H$" &amp; 6 + $A$6 + 6 + $A$27 + 8 + $A$44 + 6 + $A$59 + 8 + $A$76), MATCH(X20,INDIRECT("$A$" &amp; 6 + $A$6 + 6 + $A$27 + 8 + $A$44 + 6 + $A$59 + 7 &amp; ":$A$" &amp; 6 + $A$6 + 6 + $A$27 + 8 + $A$44 + 6 + $A$59 + 8 + $A$76), 0), 7)</x:f>
      </x:c>
      <x:c r="Z20" s="259" t="s">
        <x:v>220</x:v>
      </x:c>
      <x:c r="AA20" s="308">
        <x:f>INDEX(INDIRECT("$A$" &amp; 6 + $A$6 + 6 + $A$27 + 8 + $A$44 + 6 + $A$59 + 7 &amp; ":$H$" &amp; 6 + $A$6 + 6 + $A$27 + 8 + $A$44 + 6 + $A$59 + 8 + $A$76), MATCH(Z20,INDIRECT("$A$" &amp; 6 + $A$6 + 6 + $A$27 + 8 + $A$44 + 6 + $A$59 + 7 &amp; ":$A$" &amp; 6 + $A$6 + 6 + $A$27 + 8 + $A$44 + 6 + $A$59 + 8 + $A$76), 0), 7)</x:f>
      </x:c>
      <x:c r="AB20" s="257" t="s">
        <x:v>52</x:v>
      </x:c>
      <x:c r="AC20" s="308">
        <x:f>INDEX(INDIRECT("$A$" &amp; 6 + $A$6 + 6 + $A$27 + 8 + $A$44 + 6 + $A$59 + 7 &amp; ":$H$" &amp; 6 + $A$6 + 6 + $A$27 + 8 + $A$44 + 6 + $A$59 + 8 + $A$76), MATCH(AB20,INDIRECT("$A$" &amp; 6 + $A$6 + 6 + $A$27 + 8 + $A$44 + 6 + $A$59 + 7 &amp; ":$A$" &amp; 6 + $A$6 + 6 + $A$27 + 8 + $A$44 + 6 + $A$59 + 8 + $A$76), 0), 7)</x:f>
      </x:c>
      <x:c r="AD20" s="290" t="s">
        <x:v>49</x:v>
      </x:c>
      <x:c r="AE20" s="308">
        <x:f>INDEX(INDIRECT("$A$" &amp; 6 + $A$6 + 6 + $A$27 + 8 + $A$44 + 6 + $A$59 + 7 &amp; ":$H$" &amp; 6 + $A$6 + 6 + $A$27 + 8 + $A$44 + 6 + $A$59 + 8 + $A$76), MATCH(AD20,INDIRECT("$A$" &amp; 6 + $A$6 + 6 + $A$27 + 8 + $A$44 + 6 + $A$59 + 7 &amp; ":$A$" &amp; 6 + $A$6 + 6 + $A$27 + 8 + $A$44 + 6 + $A$59 + 8 + $A$76), 0), 7)</x:f>
      </x:c>
      <x:c r="AH20" s="197"/>
      <x:c r="AI20" s="197"/>
      <x:c r="AJ20" s="197"/>
      <x:c r="AK20" s="197"/>
    </x:row>
    <x:row r="21" spans="1:37" ht="15.75" customHeight="1" x14ac:dyDescent="0.3">
      <x:c r="A21" s="271" t="s">
        <x:v>139</x:v>
      </x:c>
      <x:c r="B21" s="16">
        <x:v>90</x:v>
      </x:c>
      <x:c r="C21" s="15">
        <x:v>90</x:v>
      </x:c>
      <x:c r="D21" s="15">
        <x:v>6</x:v>
      </x:c>
      <x:c r="E21" s="15">
        <x:v>8</x:v>
      </x:c>
      <x:c r="F21" s="15">
        <x:v>8</x:v>
      </x:c>
      <x:c r="G21" s="25">
        <x:v>0.96</x:v>
      </x:c>
      <x:c r="H21" s="293">
        <x:f>IF(G21&lt;=0.25,"+","-")</x:f>
      </x:c>
      <x:c r="I21" s="302">
        <x:v>22421</x:v>
      </x:c>
      <x:c r="J21" s="299">
        <x:v>1222</x:v>
      </x:c>
      <x:c r="K21" s="299">
        <x:v>688</x:v>
      </x:c>
      <x:c r="L21" s="299">
        <x:v>19</x:v>
      </x:c>
      <x:c r="M21" s="300">
        <x:v>2.162</x:v>
      </x:c>
      <x:c r="N21" s="300">
        <x:v>0.343</x:v>
      </x:c>
      <x:c r="O21" s="300">
        <x:v>0.578</x:v>
      </x:c>
      <x:c r="P21" s="299" t="s">
        <x:v>221</x:v>
      </x:c>
      <x:c r="Q21" s="301" t="s">
        <x:v>222</x:v>
      </x:c>
      <x:c r="R21" s="116"/>
      <x:c r="T21" s="287" t="s">
        <x:v>59</x:v>
      </x:c>
      <x:c r="U21" s="308">
        <x:f>INDEX(INDIRECT("$A$" &amp; 6 + $A$6 + 6 + $A$27 + 8 + $A$44 + 6 + $A$59 + 7 &amp; ":$H$" &amp; 6 + $A$6 + 6 + $A$27 + 8 + $A$44 + 6 + $A$59 + 8 + $A$76), MATCH(T21,INDIRECT("$A$" &amp; 6 + $A$6 + 6 + $A$27 + 8 + $A$44 + 6 + $A$59 + 7 &amp; ":$A$" &amp; 6 + $A$6 + 6 + $A$27 + 8 + $A$44 + 6 + $A$59 + 8 + $A$76), 0), 7)</x:f>
      </x:c>
      <x:c r="V21" s="288" t="s">
        <x:v>62</x:v>
      </x:c>
      <x:c r="W21" s="308">
        <x:f>INDEX(INDIRECT("$A$" &amp; 6 + $A$6 + 6 + $A$27 + 8 + $A$44 + 6 + $A$59 + 7 &amp; ":$H$" &amp; 6 + $A$6 + 6 + $A$27 + 8 + $A$44 + 6 + $A$59 + 8 + $A$76), MATCH(V21,INDIRECT("$A$" &amp; 6 + $A$6 + 6 + $A$27 + 8 + $A$44 + 6 + $A$59 + 7 &amp; ":$A$" &amp; 6 + $A$6 + 6 + $A$27 + 8 + $A$44 + 6 + $A$59 + 8 + $A$76), 0), 7)</x:f>
      </x:c>
      <x:c r="X21" s="289" t="s">
        <x:v>3</x:v>
      </x:c>
      <x:c r="Y21" s="308">
        <x:f>INDEX(INDIRECT("$A$" &amp; 6 + $A$6 + 6 + $A$27 + 8 + $A$44 + 6 + $A$59 + 7 &amp; ":$H$" &amp; 6 + $A$6 + 6 + $A$27 + 8 + $A$44 + 6 + $A$59 + 8 + $A$76), MATCH(X21,INDIRECT("$A$" &amp; 6 + $A$6 + 6 + $A$27 + 8 + $A$44 + 6 + $A$59 + 7 &amp; ":$A$" &amp; 6 + $A$6 + 6 + $A$27 + 8 + $A$44 + 6 + $A$59 + 8 + $A$76), 0), 7)</x:f>
      </x:c>
      <x:c r="Z21" s="259" t="s">
        <x:v>33</x:v>
      </x:c>
      <x:c r="AA21" s="308">
        <x:f>INDEX(INDIRECT("$A$" &amp; 6 + $A$6 + 6 + $A$27 + 8 + $A$44 + 6 + $A$59 + 7 &amp; ":$H$" &amp; 6 + $A$6 + 6 + $A$27 + 8 + $A$44 + 6 + $A$59 + 8 + $A$76), MATCH(Z21,INDIRECT("$A$" &amp; 6 + $A$6 + 6 + $A$27 + 8 + $A$44 + 6 + $A$59 + 7 &amp; ":$A$" &amp; 6 + $A$6 + 6 + $A$27 + 8 + $A$44 + 6 + $A$59 + 8 + $A$76), 0), 7)</x:f>
      </x:c>
      <x:c r="AB21" s="257" t="s">
        <x:v>14</x:v>
      </x:c>
      <x:c r="AC21" s="308">
        <x:f>INDEX(INDIRECT("$A$" &amp; 6 + $A$6 + 6 + $A$27 + 8 + $A$44 + 6 + $A$59 + 7 &amp; ":$H$" &amp; 6 + $A$6 + 6 + $A$27 + 8 + $A$44 + 6 + $A$59 + 8 + $A$76), MATCH(AB21,INDIRECT("$A$" &amp; 6 + $A$6 + 6 + $A$27 + 8 + $A$44 + 6 + $A$59 + 7 &amp; ":$A$" &amp; 6 + $A$6 + 6 + $A$27 + 8 + $A$44 + 6 + $A$59 + 8 + $A$76), 0), 7)</x:f>
      </x:c>
      <x:c r="AD21" s="290" t="s">
        <x:v>16</x:v>
      </x:c>
      <x:c r="AE21" s="308">
        <x:f>INDEX(INDIRECT("$A$" &amp; 6 + $A$6 + 6 + $A$27 + 8 + $A$44 + 6 + $A$59 + 7 &amp; ":$H$" &amp; 6 + $A$6 + 6 + $A$27 + 8 + $A$44 + 6 + $A$59 + 8 + $A$76), MATCH(AD21,INDIRECT("$A$" &amp; 6 + $A$6 + 6 + $A$27 + 8 + $A$44 + 6 + $A$59 + 7 &amp; ":$A$" &amp; 6 + $A$6 + 6 + $A$27 + 8 + $A$44 + 6 + $A$59 + 8 + $A$76), 0), 7)</x:f>
      </x:c>
      <x:c r="AH21" s="197"/>
      <x:c r="AI21" s="197"/>
      <x:c r="AJ21" s="197"/>
      <x:c r="AK21" s="197"/>
    </x:row>
    <x:row r="22" spans="1:37" ht="15.75" customHeight="1" x14ac:dyDescent="0.3">
      <x:c r="A22" s="259" t="s">
        <x:v>223</x:v>
      </x:c>
      <x:c r="B22" s="27">
        <x:f>SUM(B7:B21)/COUNT(B7:B21)</x:f>
      </x:c>
      <x:c r="C22" s="27">
        <x:f>SUM(C7:C21)/COUNT(C7:C21)</x:f>
      </x:c>
      <x:c r="D22" s="27">
        <x:f>SUM(D7:D21)/COUNT(D7:D21)</x:f>
      </x:c>
      <x:c r="E22" s="27">
        <x:f>SUM(E7:E21)/COUNT(E7:E21)</x:f>
      </x:c>
      <x:c r="F22" s="27">
        <x:f>SUM(F7:F21)/COUNT(F7:F21)</x:f>
      </x:c>
      <x:c r="G22" s="179">
        <x:f>COUNTIF(H7:H21,"+") &amp; "/" &amp; A6 &amp; " (" &amp; ROUND(COUNTIF(H7:H21,"+")*100/A6, 0) &amp; "%)"</x:f>
      </x:c>
      <x:c r="H22" s="168"/>
      <x:c r="I22" s="171"/>
      <x:c r="J22" s="157"/>
      <x:c r="K22" s="157"/>
      <x:c r="L22" s="157"/>
      <x:c r="M22" s="157"/>
      <x:c r="N22" s="157"/>
      <x:c r="O22" s="157"/>
      <x:c r="P22" s="157"/>
      <x:c r="Q22" s="157"/>
      <x:c r="R22" s="158"/>
      <x:c r="T22" s="287" t="s">
        <x:v>224</x:v>
      </x:c>
      <x:c r="U22" s="308">
        <x:f>INDEX(INDIRECT("$A$" &amp; 6 + $A$6 + 6 + $A$27 + 8 + $A$44 + 6 + $A$59 + 7 &amp; ":$H$" &amp; 6 + $A$6 + 6 + $A$27 + 8 + $A$44 + 6 + $A$59 + 8 + $A$76), MATCH(T22,INDIRECT("$A$" &amp; 6 + $A$6 + 6 + $A$27 + 8 + $A$44 + 6 + $A$59 + 7 &amp; ":$A$" &amp; 6 + $A$6 + 6 + $A$27 + 8 + $A$44 + 6 + $A$59 + 8 + $A$76), 0), 7)</x:f>
      </x:c>
      <x:c r="V22" s="288" t="s">
        <x:v>67</x:v>
      </x:c>
      <x:c r="W22" s="308">
        <x:f>INDEX(INDIRECT("$A$" &amp; 6 + $A$6 + 6 + $A$27 + 8 + $A$44 + 6 + $A$59 + 7 &amp; ":$H$" &amp; 6 + $A$6 + 6 + $A$27 + 8 + $A$44 + 6 + $A$59 + 8 + $A$76), MATCH(V22,INDIRECT("$A$" &amp; 6 + $A$6 + 6 + $A$27 + 8 + $A$44 + 6 + $A$59 + 7 &amp; ":$A$" &amp; 6 + $A$6 + 6 + $A$27 + 8 + $A$44 + 6 + $A$59 + 8 + $A$76), 0), 7)</x:f>
      </x:c>
      <x:c r="X22" s="289" t="s">
        <x:v>96</x:v>
      </x:c>
      <x:c r="Y22" s="308">
        <x:f>INDEX(INDIRECT("$A$" &amp; 6 + $A$6 + 6 + $A$27 + 8 + $A$44 + 6 + $A$59 + 7 &amp; ":$H$" &amp; 6 + $A$6 + 6 + $A$27 + 8 + $A$44 + 6 + $A$59 + 8 + $A$76), MATCH(X22,INDIRECT("$A$" &amp; 6 + $A$6 + 6 + $A$27 + 8 + $A$44 + 6 + $A$59 + 7 &amp; ":$A$" &amp; 6 + $A$6 + 6 + $A$27 + 8 + $A$44 + 6 + $A$59 + 8 + $A$76), 0), 7)</x:f>
      </x:c>
      <x:c r="Z22" s="259" t="s">
        <x:v>24</x:v>
      </x:c>
      <x:c r="AA22" s="308">
        <x:f>INDEX(INDIRECT("$A$" &amp; 6 + $A$6 + 6 + $A$27 + 8 + $A$44 + 6 + $A$59 + 7 &amp; ":$H$" &amp; 6 + $A$6 + 6 + $A$27 + 8 + $A$44 + 6 + $A$59 + 8 + $A$76), MATCH(Z22,INDIRECT("$A$" &amp; 6 + $A$6 + 6 + $A$27 + 8 + $A$44 + 6 + $A$59 + 7 &amp; ":$A$" &amp; 6 + $A$6 + 6 + $A$27 + 8 + $A$44 + 6 + $A$59 + 8 + $A$76), 0), 7)</x:f>
      </x:c>
      <x:c r="AB22" s="257" t="s">
        <x:v>225</x:v>
      </x:c>
      <x:c r="AC22" s="308">
        <x:f>INDEX(INDIRECT("$A$" &amp; 6 + $A$6 + 6 + $A$27 + 8 + $A$44 + 6 + $A$59 + 7 &amp; ":$H$" &amp; 6 + $A$6 + 6 + $A$27 + 8 + $A$44 + 6 + $A$59 + 8 + $A$76), MATCH(AB22,INDIRECT("$A$" &amp; 6 + $A$6 + 6 + $A$27 + 8 + $A$44 + 6 + $A$59 + 7 &amp; ":$A$" &amp; 6 + $A$6 + 6 + $A$27 + 8 + $A$44 + 6 + $A$59 + 8 + $A$76), 0), 7)</x:f>
      </x:c>
      <x:c r="AH22" s="197"/>
      <x:c r="AI22" s="197"/>
      <x:c r="AJ22" s="197"/>
      <x:c r="AK22" s="197"/>
    </x:row>
    <x:row r="23" spans="1:37" ht="15.75" customHeight="1" x14ac:dyDescent="0.3">
      <x:c r="A23" s="259" t="s">
        <x:v>226</x:v>
      </x:c>
      <x:c r="B23" s="7">
        <x:f>MEDIAN(B7:B21)</x:f>
      </x:c>
      <x:c r="C23" s="7">
        <x:f>MEDIAN(C7:C21)</x:f>
      </x:c>
      <x:c r="D23" s="7">
        <x:f>MEDIAN(D7:D21)</x:f>
      </x:c>
      <x:c r="E23" s="7">
        <x:f>MEDIAN(E7:E21)</x:f>
      </x:c>
      <x:c r="F23" s="7">
        <x:f>MEDIAN(F7:F21)</x:f>
      </x:c>
      <x:c r="G23" s="180"/>
      <x:c r="H23" s="170"/>
      <x:c r="I23" s="135"/>
      <x:c r="J23" s="1"/>
      <x:c r="K23" s="1"/>
      <x:c r="L23" s="1"/>
      <x:c r="M23" s="1"/>
      <x:c r="N23" s="1"/>
      <x:c r="O23" s="1"/>
      <x:c r="P23" s="1"/>
      <x:c r="Q23" s="1"/>
      <x:c r="R23" s="160"/>
      <x:c r="T23" s="287" t="s">
        <x:v>61</x:v>
      </x:c>
      <x:c r="U23" s="308">
        <x:f>INDEX(INDIRECT("$A$" &amp; 6 + $A$6 + 6 + $A$27 + 8 + $A$44 + 6 + $A$59 + 7 &amp; ":$H$" &amp; 6 + $A$6 + 6 + $A$27 + 8 + $A$44 + 6 + $A$59 + 8 + $A$76), MATCH(T23,INDIRECT("$A$" &amp; 6 + $A$6 + 6 + $A$27 + 8 + $A$44 + 6 + $A$59 + 7 &amp; ":$A$" &amp; 6 + $A$6 + 6 + $A$27 + 8 + $A$44 + 6 + $A$59 + 8 + $A$76), 0), 7)</x:f>
      </x:c>
      <x:c r="V23" s="288" t="s">
        <x:v>104</x:v>
      </x:c>
      <x:c r="W23" s="308">
        <x:f>INDEX(INDIRECT("$A$" &amp; 6 + $A$6 + 6 + $A$27 + 8 + $A$44 + 6 + $A$59 + 7 &amp; ":$H$" &amp; 6 + $A$6 + 6 + $A$27 + 8 + $A$44 + 6 + $A$59 + 8 + $A$76), MATCH(V23,INDIRECT("$A$" &amp; 6 + $A$6 + 6 + $A$27 + 8 + $A$44 + 6 + $A$59 + 7 &amp; ":$A$" &amp; 6 + $A$6 + 6 + $A$27 + 8 + $A$44 + 6 + $A$59 + 8 + $A$76), 0), 7)</x:f>
      </x:c>
      <x:c r="Z23" s="259" t="s">
        <x:v>94</x:v>
      </x:c>
      <x:c r="AA23" s="308">
        <x:f>INDEX(INDIRECT("$A$" &amp; 6 + $A$6 + 6 + $A$27 + 8 + $A$44 + 6 + $A$59 + 7 &amp; ":$H$" &amp; 6 + $A$6 + 6 + $A$27 + 8 + $A$44 + 6 + $A$59 + 8 + $A$76), MATCH(Z23,INDIRECT("$A$" &amp; 6 + $A$6 + 6 + $A$27 + 8 + $A$44 + 6 + $A$59 + 7 &amp; ":$A$" &amp; 6 + $A$6 + 6 + $A$27 + 8 + $A$44 + 6 + $A$59 + 8 + $A$76), 0), 7)</x:f>
      </x:c>
      <x:c r="AH23" s="197"/>
      <x:c r="AI23" s="197"/>
      <x:c r="AJ23" s="197"/>
      <x:c r="AK23" s="197"/>
    </x:row>
    <x:row r="24" spans="1:37" ht="15.75" customHeight="1" x14ac:dyDescent="0.3">
      <x:c r="A24" s="173" t="s">
        <x:v>227</x:v>
      </x:c>
      <x:c r="B24" s="174"/>
      <x:c r="C24" s="174"/>
      <x:c r="D24" s="174"/>
      <x:c r="E24" s="174"/>
      <x:c r="F24" s="174"/>
      <x:c r="G24" s="174"/>
      <x:c r="H24" s="174"/>
      <x:c r="I24" s="174"/>
      <x:c r="J24" s="174"/>
      <x:c r="K24" s="174"/>
      <x:c r="L24" s="174"/>
      <x:c r="M24" s="174"/>
      <x:c r="N24" s="174"/>
      <x:c r="O24" s="174"/>
      <x:c r="P24" s="174"/>
      <x:c r="Q24" s="174"/>
      <x:c r="R24" s="175"/>
      <x:c r="T24" s="287" t="s">
        <x:v>64</x:v>
      </x:c>
      <x:c r="U24" s="308">
        <x:f>INDEX(INDIRECT("$A$" &amp; 6 + $A$6 + 6 + $A$27 + 8 + $A$44 + 6 + $A$59 + 7 &amp; ":$H$" &amp; 6 + $A$6 + 6 + $A$27 + 8 + $A$44 + 6 + $A$59 + 8 + $A$76), MATCH(T24,INDIRECT("$A$" &amp; 6 + $A$6 + 6 + $A$27 + 8 + $A$44 + 6 + $A$59 + 7 &amp; ":$A$" &amp; 6 + $A$6 + 6 + $A$27 + 8 + $A$44 + 6 + $A$59 + 8 + $A$76), 0), 7)</x:f>
      </x:c>
      <x:c r="V24" s="288" t="s">
        <x:v>73</x:v>
      </x:c>
      <x:c r="W24" s="308">
        <x:f>INDEX(INDIRECT("$A$" &amp; 6 + $A$6 + 6 + $A$27 + 8 + $A$44 + 6 + $A$59 + 7 &amp; ":$H$" &amp; 6 + $A$6 + 6 + $A$27 + 8 + $A$44 + 6 + $A$59 + 8 + $A$76), MATCH(V24,INDIRECT("$A$" &amp; 6 + $A$6 + 6 + $A$27 + 8 + $A$44 + 6 + $A$59 + 7 &amp; ":$A$" &amp; 6 + $A$6 + 6 + $A$27 + 8 + $A$44 + 6 + $A$59 + 8 + $A$76), 0), 7)</x:f>
      </x:c>
      <x:c r="Z24" s="259" t="s">
        <x:v>108</x:v>
      </x:c>
      <x:c r="AA24" s="308">
        <x:f>INDEX(INDIRECT("$A$" &amp; 6 + $A$6 + 6 + $A$27 + 8 + $A$44 + 6 + $A$59 + 7 &amp; ":$H$" &amp; 6 + $A$6 + 6 + $A$27 + 8 + $A$44 + 6 + $A$59 + 8 + $A$76), MATCH(Z24,INDIRECT("$A$" &amp; 6 + $A$6 + 6 + $A$27 + 8 + $A$44 + 6 + $A$59 + 7 &amp; ":$A$" &amp; 6 + $A$6 + 6 + $A$27 + 8 + $A$44 + 6 + $A$59 + 8 + $A$76), 0), 7)</x:f>
      </x:c>
      <x:c r="AH24" s="197"/>
      <x:c r="AI24" s="197"/>
      <x:c r="AJ24" s="197"/>
      <x:c r="AK24" s="197"/>
    </x:row>
    <x:row r="25" spans="1:37" ht="15.75" customHeight="1" x14ac:dyDescent="0.3">
      <x:c r="A25" s="176"/>
      <x:c r="B25" s="177"/>
      <x:c r="C25" s="177"/>
      <x:c r="D25" s="177"/>
      <x:c r="E25" s="177"/>
      <x:c r="F25" s="177"/>
      <x:c r="G25" s="177"/>
      <x:c r="H25" s="177"/>
      <x:c r="I25" s="177"/>
      <x:c r="J25" s="177"/>
      <x:c r="K25" s="177"/>
      <x:c r="L25" s="177"/>
      <x:c r="M25" s="177"/>
      <x:c r="N25" s="177"/>
      <x:c r="O25" s="177"/>
      <x:c r="P25" s="177"/>
      <x:c r="Q25" s="177"/>
      <x:c r="R25" s="178"/>
      <x:c r="T25" s="287" t="s">
        <x:v>126</x:v>
      </x:c>
      <x:c r="U25" s="308">
        <x:f>INDEX(INDIRECT("$A$" &amp; 6 + $A$6 + 6 + $A$27 + 8 + $A$44 + 6 + $A$59 + 7 &amp; ":$H$" &amp; 6 + $A$6 + 6 + $A$27 + 8 + $A$44 + 6 + $A$59 + 8 + $A$76), MATCH(T25,INDIRECT("$A$" &amp; 6 + $A$6 + 6 + $A$27 + 8 + $A$44 + 6 + $A$59 + 7 &amp; ":$A$" &amp; 6 + $A$6 + 6 + $A$27 + 8 + $A$44 + 6 + $A$59 + 8 + $A$76), 0), 7)</x:f>
      </x:c>
    </x:row>
    <x:row r="26" spans="1:37" ht="15.75" customHeight="1" x14ac:dyDescent="0.3">
      <x:c r="A26" s="28" t="s">
        <x:v>0</x:v>
      </x:c>
      <x:c r="B26" s="191" t="s">
        <x:v>173</x:v>
      </x:c>
      <x:c r="C26" s="191" t="s">
        <x:v>174</x:v>
      </x:c>
      <x:c r="D26" s="218" t="s">
        <x:v>175</x:v>
      </x:c>
      <x:c r="E26" s="222"/>
      <x:c r="F26" s="223"/>
      <x:c r="G26" s="190" t="s">
        <x:v>176</x:v>
      </x:c>
      <x:c r="H26" s="191" t="s">
        <x:v>177</x:v>
      </x:c>
      <x:c r="I26" s="190" t="s">
        <x:v>178</x:v>
      </x:c>
      <x:c r="J26" s="190" t="s">
        <x:v>179</x:v>
      </x:c>
      <x:c r="K26" s="190" t="s">
        <x:v>180</x:v>
      </x:c>
      <x:c r="L26" s="190" t="s">
        <x:v>181</x:v>
      </x:c>
      <x:c r="M26" s="190" t="s">
        <x:v>182</x:v>
      </x:c>
      <x:c r="N26" s="190" t="s">
        <x:v>183</x:v>
      </x:c>
      <x:c r="O26" s="190" t="s">
        <x:v>184</x:v>
      </x:c>
      <x:c r="P26" s="191" t="s">
        <x:v>185</x:v>
      </x:c>
      <x:c r="Q26" s="196" t="s">
        <x:v>186</x:v>
      </x:c>
      <x:c r="R26" s="191" t="s">
        <x:v>187</x:v>
      </x:c>
      <x:c r="T26" s="287" t="s">
        <x:v>100</x:v>
      </x:c>
      <x:c r="U26" s="308">
        <x:f>INDEX(INDIRECT("$A$" &amp; 6 + $A$6 + 6 + $A$27 + 8 + $A$44 + 6 + $A$59 + 7 &amp; ":$H$" &amp; 6 + $A$6 + 6 + $A$27 + 8 + $A$44 + 6 + $A$59 + 8 + $A$76), MATCH(T26,INDIRECT("$A$" &amp; 6 + $A$6 + 6 + $A$27 + 8 + $A$44 + 6 + $A$59 + 7 &amp; ":$A$" &amp; 6 + $A$6 + 6 + $A$27 + 8 + $A$44 + 6 + $A$59 + 8 + $A$76), 0), 7)</x:f>
      </x:c>
    </x:row>
    <x:row r="27" spans="1:37" ht="15.75" customHeight="1" x14ac:dyDescent="0.3">
      <x:c r="A27" s="23">
        <x:f>MATCH("Среднее",A28:A1034,0)-1</x:f>
      </x:c>
      <x:c r="B27" s="187"/>
      <x:c r="C27" s="187"/>
      <x:c r="D27" s="103">
        <x:v>1</x:v>
      </x:c>
      <x:c r="E27" s="103">
        <x:v>2</x:v>
      </x:c>
      <x:c r="F27" s="103">
        <x:v>3</x:v>
      </x:c>
      <x:c r="G27" s="189"/>
      <x:c r="H27" s="187"/>
      <x:c r="I27" s="189"/>
      <x:c r="J27" s="189"/>
      <x:c r="K27" s="189"/>
      <x:c r="L27" s="189"/>
      <x:c r="M27" s="189"/>
      <x:c r="N27" s="189"/>
      <x:c r="O27" s="189"/>
      <x:c r="P27" s="187"/>
      <x:c r="Q27" s="187"/>
      <x:c r="R27" s="187"/>
      <x:c r="T27" s="287" t="s">
        <x:v>13</x:v>
      </x:c>
      <x:c r="U27" s="308">
        <x:f>INDEX(INDIRECT("$A$" &amp; 6 + $A$6 + 6 + $A$27 + 8 + $A$44 + 6 + $A$59 + 7 &amp; ":$H$" &amp; 6 + $A$6 + 6 + $A$27 + 8 + $A$44 + 6 + $A$59 + 8 + $A$76), MATCH(T27,INDIRECT("$A$" &amp; 6 + $A$6 + 6 + $A$27 + 8 + $A$44 + 6 + $A$59 + 7 &amp; ":$A$" &amp; 6 + $A$6 + 6 + $A$27 + 8 + $A$44 + 6 + $A$59 + 8 + $A$76), 0), 7)</x:f>
      </x:c>
    </x:row>
    <x:row r="28" spans="1:37" ht="15.75" customHeight="1" x14ac:dyDescent="0.3">
      <x:c r="A28" s="271" t="s">
        <x:v>121</x:v>
      </x:c>
      <x:c r="B28" s="16">
        <x:v>90</x:v>
      </x:c>
      <x:c r="C28" s="15">
        <x:v>90</x:v>
      </x:c>
      <x:c r="D28" s="15">
        <x:v>10</x:v>
      </x:c>
      <x:c r="E28" s="15">
        <x:v>6</x:v>
      </x:c>
      <x:c r="F28" s="15">
        <x:v>7</x:v>
      </x:c>
      <x:c r="G28" s="25">
        <x:v>0.08</x:v>
      </x:c>
      <x:c r="H28" s="293">
        <x:f>IF(G28&lt;=0.25,"+","-")</x:f>
      </x:c>
      <x:c r="I28" s="294">
        <x:v>17121</x:v>
      </x:c>
      <x:c r="J28" s="295">
        <x:v>2119</x:v>
      </x:c>
      <x:c r="K28" s="295">
        <x:v>750</x:v>
      </x:c>
      <x:c r="L28" s="295">
        <x:v>75</x:v>
      </x:c>
      <x:c r="M28" s="296">
        <x:v>1.097</x:v>
      </x:c>
      <x:c r="N28" s="296">
        <x:v>0.244</x:v>
      </x:c>
      <x:c r="O28" s="296">
        <x:v>2.244</x:v>
      </x:c>
      <x:c r="P28" s="295" t="s">
        <x:v>202</x:v>
      </x:c>
      <x:c r="Q28" s="297" t="s">
        <x:v>228</x:v>
      </x:c>
      <x:c r="T28" s="197" t="s">
        <x:v>229</x:v>
      </x:c>
      <x:c r="U28" s="197"/>
      <x:c r="V28" s="197"/>
      <x:c r="W28" s="197"/>
      <x:c r="X28" s="197"/>
      <x:c r="Y28" s="197"/>
      <x:c r="Z28" s="197"/>
      <x:c r="AA28" s="197"/>
      <x:c r="AB28" s="197"/>
      <x:c r="AC28" s="197"/>
      <x:c r="AD28" s="197"/>
      <x:c r="AE28" s="197"/>
      <x:c r="AF28" s="197"/>
      <x:c r="AG28" s="197"/>
      <x:c r="AH28" s="197" t="s">
        <x:v>230</x:v>
      </x:c>
      <x:c r="AI28" s="197"/>
      <x:c r="AJ28" s="197"/>
      <x:c r="AK28" s="197"/>
    </x:row>
    <x:row r="29" spans="1:37" ht="15.75" customHeight="1" x14ac:dyDescent="0.3">
      <x:c r="A29" s="257" t="s">
        <x:v>19</x:v>
      </x:c>
      <x:c r="B29" s="16">
        <x:v>90</x:v>
      </x:c>
      <x:c r="C29" s="15">
        <x:v>80</x:v>
      </x:c>
      <x:c r="D29" s="15">
        <x:v>6</x:v>
      </x:c>
      <x:c r="E29" s="15">
        <x:v>10</x:v>
      </x:c>
      <x:c r="F29" s="15">
        <x:v>6</x:v>
      </x:c>
      <x:c r="G29" s="25">
        <x:v>0.086</x:v>
      </x:c>
      <x:c r="H29" s="293">
        <x:f>IF(G29&lt;=0.25,"+","-")</x:f>
      </x:c>
      <x:c r="I29" s="298">
        <x:v>26484</x:v>
      </x:c>
      <x:c r="J29" s="299">
        <x:v>1192</x:v>
      </x:c>
      <x:c r="K29" s="299">
        <x:v>904</x:v>
      </x:c>
      <x:c r="L29" s="299">
        <x:v>84</x:v>
      </x:c>
      <x:c r="M29" s="300">
        <x:v>2.108</x:v>
      </x:c>
      <x:c r="N29" s="300">
        <x:v>0.12</x:v>
      </x:c>
      <x:c r="O29" s="300">
        <x:v>0.632</x:v>
      </x:c>
      <x:c r="P29" s="299" t="s">
        <x:v>209</x:v>
      </x:c>
      <x:c r="Q29" s="301" t="s">
        <x:v>231</x:v>
      </x:c>
      <x:c r="T29" s="197"/>
      <x:c r="U29" s="197"/>
      <x:c r="V29" s="197"/>
      <x:c r="W29" s="197"/>
      <x:c r="X29" s="197"/>
      <x:c r="Y29" s="197"/>
      <x:c r="Z29" s="197"/>
      <x:c r="AA29" s="197"/>
      <x:c r="AB29" s="197"/>
      <x:c r="AC29" s="197"/>
      <x:c r="AD29" s="197"/>
      <x:c r="AE29" s="197"/>
      <x:c r="AF29" s="197"/>
      <x:c r="AG29" s="197"/>
      <x:c r="AH29" s="197"/>
      <x:c r="AI29" s="197"/>
      <x:c r="AJ29" s="197"/>
      <x:c r="AK29" s="197"/>
    </x:row>
    <x:row r="30" spans="1:37" ht="15.75" customHeight="1" x14ac:dyDescent="0.3">
      <x:c r="A30" s="271" t="s">
        <x:v>113</x:v>
      </x:c>
      <x:c r="B30" s="16">
        <x:v>90</x:v>
      </x:c>
      <x:c r="C30" s="15">
        <x:v>90</x:v>
      </x:c>
      <x:c r="D30" s="15">
        <x:v>6</x:v>
      </x:c>
      <x:c r="E30" s="15">
        <x:v>8</x:v>
      </x:c>
      <x:c r="F30" s="15">
        <x:v>8</x:v>
      </x:c>
      <x:c r="G30" s="25">
        <x:v>0.1</x:v>
      </x:c>
      <x:c r="H30" s="293">
        <x:f>IF(G30&lt;=0.25,"+","-")</x:f>
      </x:c>
      <x:c r="I30" s="294">
        <x:v>15760</x:v>
      </x:c>
      <x:c r="J30" s="295">
        <x:v>1869</x:v>
      </x:c>
      <x:c r="K30" s="295">
        <x:v>890</x:v>
      </x:c>
      <x:c r="L30" s="295">
        <x:v>228</x:v>
      </x:c>
      <x:c r="M30" s="296">
        <x:v>1.443</x:v>
      </x:c>
      <x:c r="N30" s="296">
        <x:v>0.532</x:v>
      </x:c>
      <x:c r="O30" s="296">
        <x:v>1.029</x:v>
      </x:c>
      <x:c r="P30" s="295" t="s">
        <x:v>204</x:v>
      </x:c>
      <x:c r="Q30" s="297" t="s">
        <x:v>232</x:v>
      </x:c>
      <x:c r="T30" s="198" t="s">
        <x:v>165</x:v>
      </x:c>
      <x:c r="U30" s="198"/>
      <x:c r="V30" s="198" t="s">
        <x:v>166</x:v>
      </x:c>
      <x:c r="W30" s="198"/>
      <x:c r="X30" s="198" t="s">
        <x:v>167</x:v>
      </x:c>
      <x:c r="Y30" s="198"/>
      <x:c r="Z30" s="198" t="s">
        <x:v>168</x:v>
      </x:c>
      <x:c r="AA30" s="198"/>
      <x:c r="AB30" s="198" t="s">
        <x:v>169</x:v>
      </x:c>
      <x:c r="AC30" s="198"/>
      <x:c r="AD30" s="198" t="s">
        <x:v>170</x:v>
      </x:c>
      <x:c r="AE30" s="198"/>
      <x:c r="AF30" s="198" t="s">
        <x:v>171</x:v>
      </x:c>
      <x:c r="AG30" s="198"/>
      <x:c r="AH30" s="199">
        <x:f>COUNTIFS(T4:AG10,"&lt;0,25")+COUNTIFS(T13:AG16,"+")+COUNTIFS(T19:AG27,"+") &amp; "/" &amp; A6+A27+A44+A59+A76 &amp; " (" &amp; ROUND(((COUNTIFS(T4:AG10,"&lt;0,25")+COUNTIFS(T13:AG16,"+")+COUNTIFS(T19:AG27,"+"))*100)/ (A6+A27+A44+A59+A76), 0) &amp; "%)"</x:f>
      </x:c>
      <x:c r="AI30" s="199"/>
      <x:c r="AJ30" s="199"/>
      <x:c r="AK30" s="199"/>
    </x:row>
    <x:row r="31" spans="1:37" ht="15.75" customHeight="1" x14ac:dyDescent="0.3">
      <x:c r="A31" s="271" t="s">
        <x:v>89</x:v>
      </x:c>
      <x:c r="B31" s="16">
        <x:v>90</x:v>
      </x:c>
      <x:c r="C31" s="15">
        <x:v>80</x:v>
      </x:c>
      <x:c r="D31" s="15">
        <x:v>6</x:v>
      </x:c>
      <x:c r="E31" s="15">
        <x:v>6</x:v>
      </x:c>
      <x:c r="F31" s="15">
        <x:v>6</x:v>
      </x:c>
      <x:c r="G31" s="25">
        <x:v>0.19</x:v>
      </x:c>
      <x:c r="H31" s="293">
        <x:f>IF(G31&lt;=0.25,"+","-")</x:f>
      </x:c>
      <x:c r="I31" s="298">
        <x:v>24900</x:v>
      </x:c>
      <x:c r="J31" s="299">
        <x:v>1462</x:v>
      </x:c>
      <x:c r="K31" s="299">
        <x:v>1128</x:v>
      </x:c>
      <x:c r="L31" s="299">
        <x:v>0</x:v>
      </x:c>
      <x:c r="M31" s="300">
        <x:v>2.239</x:v>
      </x:c>
      <x:c r="N31" s="300">
        <x:v>0.435</x:v>
      </x:c>
      <x:c r="O31" s="300">
        <x:v>0.904</x:v>
      </x:c>
      <x:c r="P31" s="299" t="s">
        <x:v>204</x:v>
      </x:c>
      <x:c r="Q31" s="301" t="s">
        <x:v>233</x:v>
      </x:c>
      <x:c r="T31" s="198"/>
      <x:c r="U31" s="198"/>
      <x:c r="V31" s="198"/>
      <x:c r="W31" s="198"/>
      <x:c r="X31" s="198"/>
      <x:c r="Y31" s="198"/>
      <x:c r="Z31" s="198"/>
      <x:c r="AA31" s="198"/>
      <x:c r="AB31" s="198"/>
      <x:c r="AC31" s="198"/>
      <x:c r="AD31" s="198"/>
      <x:c r="AE31" s="198"/>
      <x:c r="AF31" s="198"/>
      <x:c r="AG31" s="198"/>
      <x:c r="AH31" s="199"/>
      <x:c r="AI31" s="199"/>
      <x:c r="AJ31" s="199"/>
      <x:c r="AK31" s="199"/>
    </x:row>
    <x:row r="32" spans="1:37" ht="15.75" customHeight="1" x14ac:dyDescent="0.3">
      <x:c r="A32" s="271" t="s">
        <x:v>102</x:v>
      </x:c>
      <x:c r="B32" s="16">
        <x:v>90</x:v>
      </x:c>
      <x:c r="C32" s="15">
        <x:v>90</x:v>
      </x:c>
      <x:c r="D32" s="15">
        <x:v>6</x:v>
      </x:c>
      <x:c r="E32" s="15">
        <x:v>6</x:v>
      </x:c>
      <x:c r="F32" s="15">
        <x:v>7</x:v>
      </x:c>
      <x:c r="G32" s="25">
        <x:v>0.29</x:v>
      </x:c>
      <x:c r="H32" s="293">
        <x:f>IF(G32&lt;=0.25,"+","-")</x:f>
      </x:c>
      <x:c r="I32" s="302"/>
      <x:c r="J32" s="299"/>
      <x:c r="K32" s="299"/>
      <x:c r="L32" s="299"/>
      <x:c r="M32" s="300"/>
      <x:c r="N32" s="300"/>
      <x:c r="O32" s="300"/>
      <x:c r="P32" s="299"/>
      <x:c r="Q32" s="301"/>
      <x:c r="T32" s="199">
        <x:f>COUNTIF(T4:U10,"&lt;=0,25") + COUNTIF(T13:U24,"+")</x:f>
      </x:c>
      <x:c r="U32" s="199"/>
      <x:c r="V32" s="199">
        <x:f>COUNTIF(V4:W10,"&lt;=0,25") + COUNTIF(V13:W24,"+")</x:f>
      </x:c>
      <x:c r="W32" s="199"/>
      <x:c r="X32" s="199">
        <x:f>COUNTIF(X4:Y10,"&lt;=0,25") + COUNTIF(X13:Y24,"+")</x:f>
      </x:c>
      <x:c r="Y32" s="199"/>
      <x:c r="Z32" s="199">
        <x:f>COUNTIF(Z4:AA10,"&lt;=0,25") + COUNTIF(Z13:AA24,"+")</x:f>
      </x:c>
      <x:c r="AA32" s="199"/>
      <x:c r="AB32" s="199">
        <x:f>COUNTIF(AB4:AC10,"&lt;=0,25") + COUNTIF(AB13:AC24,"+")</x:f>
      </x:c>
      <x:c r="AC32" s="199"/>
      <x:c r="AD32" s="199">
        <x:f>COUNTIF(AD4:AE10,"&lt;=0,25") + COUNTIF(AD13:AE24,"+")</x:f>
      </x:c>
      <x:c r="AE32" s="199"/>
      <x:c r="AF32" s="199">
        <x:f>COUNTIF(AF4:AG10,"&lt;=0,25") + COUNTIF(AF13:AG24,"+")</x:f>
      </x:c>
      <x:c r="AG32" s="199"/>
      <x:c r="AH32" s="199"/>
      <x:c r="AI32" s="199"/>
      <x:c r="AJ32" s="199"/>
      <x:c r="AK32" s="199"/>
    </x:row>
    <x:row r="33" spans="1:37" ht="15.75" customHeight="1" x14ac:dyDescent="0.3">
      <x:c r="A33" s="271" t="s">
        <x:v>106</x:v>
      </x:c>
      <x:c r="B33" s="16">
        <x:v>90</x:v>
      </x:c>
      <x:c r="C33" s="15">
        <x:v>80</x:v>
      </x:c>
      <x:c r="D33" s="15">
        <x:v>6</x:v>
      </x:c>
      <x:c r="E33" s="15">
        <x:v>6</x:v>
      </x:c>
      <x:c r="F33" s="15">
        <x:v>6</x:v>
      </x:c>
      <x:c r="G33" s="25">
        <x:v>0.34</x:v>
      </x:c>
      <x:c r="H33" s="293">
        <x:f>IF(G33&lt;=0.25,"+","-")</x:f>
      </x:c>
      <x:c r="I33" s="302">
        <x:v>18923</x:v>
      </x:c>
      <x:c r="J33" s="299">
        <x:v>2005</x:v>
      </x:c>
      <x:c r="K33" s="299">
        <x:v>739</x:v>
      </x:c>
      <x:c r="L33" s="299">
        <x:v>80</x:v>
      </x:c>
      <x:c r="M33" s="300">
        <x:v>1.13</x:v>
      </x:c>
      <x:c r="N33" s="300">
        <x:v>0.454</x:v>
      </x:c>
      <x:c r="O33" s="300">
        <x:v>1.3</x:v>
      </x:c>
      <x:c r="P33" s="299" t="s">
        <x:v>234</x:v>
      </x:c>
      <x:c r="Q33" s="301" t="s">
        <x:v>235</x:v>
      </x:c>
      <x:c r="T33" s="199"/>
      <x:c r="U33" s="199"/>
      <x:c r="V33" s="199"/>
      <x:c r="W33" s="199"/>
      <x:c r="X33" s="199"/>
      <x:c r="Y33" s="199"/>
      <x:c r="Z33" s="199"/>
      <x:c r="AA33" s="199"/>
      <x:c r="AB33" s="199"/>
      <x:c r="AC33" s="199"/>
      <x:c r="AD33" s="199"/>
      <x:c r="AE33" s="199"/>
      <x:c r="AF33" s="199"/>
      <x:c r="AG33" s="199"/>
      <x:c r="AH33" s="199"/>
      <x:c r="AI33" s="199"/>
      <x:c r="AJ33" s="199"/>
      <x:c r="AK33" s="199"/>
    </x:row>
    <x:row r="34" spans="1:37" ht="15.75" customHeight="1" x14ac:dyDescent="0.3">
      <x:c r="A34" s="257" t="s">
        <x:v>27</x:v>
      </x:c>
      <x:c r="B34" s="16">
        <x:v>90</x:v>
      </x:c>
      <x:c r="C34" s="15">
        <x:v>80</x:v>
      </x:c>
      <x:c r="D34" s="15">
        <x:v>6</x:v>
      </x:c>
      <x:c r="E34" s="15">
        <x:v>6</x:v>
      </x:c>
      <x:c r="F34" s="15">
        <x:v>6</x:v>
      </x:c>
      <x:c r="G34" s="25">
        <x:v>0.73</x:v>
      </x:c>
      <x:c r="H34" s="293">
        <x:f>IF(G34&lt;=0.25,"+","-")</x:f>
      </x:c>
      <x:c r="I34" s="302">
        <x:v>11331</x:v>
      </x:c>
      <x:c r="J34" s="299">
        <x:v>1355</x:v>
      </x:c>
      <x:c r="K34" s="299">
        <x:v>687</x:v>
      </x:c>
      <x:c r="L34" s="299">
        <x:v>202</x:v>
      </x:c>
      <x:c r="M34" s="300">
        <x:v>1.052</x:v>
      </x:c>
      <x:c r="N34" s="300">
        <x:v>0.458</x:v>
      </x:c>
      <x:c r="O34" s="300">
        <x:v>0.648</x:v>
      </x:c>
      <x:c r="P34" s="299" t="s">
        <x:v>236</x:v>
      </x:c>
      <x:c r="Q34" s="301" t="s">
        <x:v>237</x:v>
      </x:c>
      <x:c r="T34" s="197" t="s">
        <x:v>238</x:v>
      </x:c>
      <x:c r="U34" s="197"/>
      <x:c r="V34" s="197"/>
      <x:c r="W34" s="197"/>
      <x:c r="X34" s="197"/>
      <x:c r="Y34" s="197"/>
      <x:c r="Z34" s="197"/>
      <x:c r="AA34" s="197"/>
      <x:c r="AB34" s="197"/>
      <x:c r="AC34" s="197"/>
      <x:c r="AD34" s="197"/>
      <x:c r="AE34" s="197"/>
      <x:c r="AF34" s="197"/>
      <x:c r="AG34" s="197"/>
    </x:row>
    <x:row r="35" spans="1:37" ht="15.75" customHeight="1" x14ac:dyDescent="0.3">
      <x:c r="A35" s="271" t="s">
        <x:v>124</x:v>
      </x:c>
      <x:c r="B35" s="16">
        <x:v>90</x:v>
      </x:c>
      <x:c r="C35" s="15">
        <x:v>90</x:v>
      </x:c>
      <x:c r="D35" s="15">
        <x:v>6</x:v>
      </x:c>
      <x:c r="E35" s="15">
        <x:v>7</x:v>
      </x:c>
      <x:c r="F35" s="15">
        <x:v>6</x:v>
      </x:c>
      <x:c r="G35" s="25">
        <x:v>0.59</x:v>
      </x:c>
      <x:c r="H35" s="293">
        <x:f>IF(G35&lt;=0.25,"+","-")</x:f>
      </x:c>
      <x:c r="I35" s="298">
        <x:v>24453</x:v>
      </x:c>
      <x:c r="J35" s="299">
        <x:v>948</x:v>
      </x:c>
      <x:c r="K35" s="299">
        <x:v>1285</x:v>
      </x:c>
      <x:c r="L35" s="299">
        <x:v>407</x:v>
      </x:c>
      <x:c r="M35" s="300">
        <x:v>1.214</x:v>
      </x:c>
      <x:c r="N35" s="300">
        <x:v>0.567</x:v>
      </x:c>
      <x:c r="O35" s="300">
        <x:v>1.296</x:v>
      </x:c>
      <x:c r="P35" s="295" t="s">
        <x:v>239</x:v>
      </x:c>
      <x:c r="Q35" s="301" t="s">
        <x:v>240</x:v>
      </x:c>
      <x:c r="T35" s="197"/>
      <x:c r="U35" s="197"/>
      <x:c r="V35" s="197"/>
      <x:c r="W35" s="197"/>
      <x:c r="X35" s="197"/>
      <x:c r="Y35" s="197"/>
      <x:c r="Z35" s="197"/>
      <x:c r="AA35" s="197"/>
      <x:c r="AB35" s="197"/>
      <x:c r="AC35" s="197"/>
      <x:c r="AD35" s="197"/>
      <x:c r="AE35" s="197"/>
      <x:c r="AF35" s="197"/>
      <x:c r="AG35" s="197"/>
    </x:row>
    <x:row r="36" spans="1:37" ht="15.75" customHeight="1" x14ac:dyDescent="0.3">
      <x:c r="A36" s="271" t="s">
        <x:v>150</x:v>
      </x:c>
      <x:c r="B36" s="16">
        <x:v>40</x:v>
      </x:c>
      <x:c r="C36" s="15">
        <x:v>70</x:v>
      </x:c>
      <x:c r="D36" s="15">
        <x:v>1</x:v>
      </x:c>
      <x:c r="E36" s="15">
        <x:v>1</x:v>
      </x:c>
      <x:c r="F36" s="15">
        <x:v>1</x:v>
      </x:c>
      <x:c r="G36" s="25">
        <x:v>0.95</x:v>
      </x:c>
      <x:c r="H36" s="293">
        <x:f>IF(G36&lt;=0.25,"+","-")</x:f>
      </x:c>
      <x:c r="I36" s="302"/>
      <x:c r="J36" s="299"/>
      <x:c r="K36" s="299"/>
      <x:c r="L36" s="299"/>
      <x:c r="M36" s="300"/>
      <x:c r="N36" s="300"/>
      <x:c r="O36" s="300"/>
      <x:c r="P36" s="299"/>
      <x:c r="Q36" s="301"/>
      <x:c r="T36" s="197">
        <x:f>SUMPRODUCT(T32:AG33,T77:AG78)</x:f>
      </x:c>
      <x:c r="U36" s="197"/>
      <x:c r="V36" s="197"/>
      <x:c r="W36" s="197"/>
      <x:c r="X36" s="197"/>
      <x:c r="Y36" s="197"/>
      <x:c r="Z36" s="197"/>
      <x:c r="AA36" s="197"/>
      <x:c r="AB36" s="197"/>
      <x:c r="AC36" s="197"/>
      <x:c r="AD36" s="197"/>
      <x:c r="AE36" s="197"/>
      <x:c r="AF36" s="197"/>
      <x:c r="AG36" s="197"/>
    </x:row>
    <x:row r="37" spans="1:37" ht="15.75" customHeight="1" x14ac:dyDescent="0.3">
      <x:c r="A37" s="259" t="s">
        <x:v>223</x:v>
      </x:c>
      <x:c r="B37" s="311">
        <x:f>SUM(B28:B36)/COUNT(B28:B36)</x:f>
      </x:c>
      <x:c r="C37" s="311">
        <x:f>SUM(C28:C36)/COUNT(C28:C36)</x:f>
      </x:c>
      <x:c r="D37" s="311">
        <x:f>SUM(D28:D36)/COUNT(D28:D36)</x:f>
      </x:c>
      <x:c r="E37" s="311">
        <x:f>SUM(E28:E36)/COUNT(E28:E36)</x:f>
      </x:c>
      <x:c r="F37" s="311">
        <x:f>SUM(F28:F36)/COUNT(F28:F36)</x:f>
      </x:c>
      <x:c r="G37" s="167">
        <x:f>COUNTIF(H28:H36,"+") &amp; "/" &amp; A27 &amp; " (" &amp; ROUND(COUNTIF(H28:H36,"+")*100/A27, 0) &amp; "%)"</x:f>
      </x:c>
      <x:c r="H37" s="168"/>
      <x:c r="I37" s="171"/>
      <x:c r="J37" s="157"/>
      <x:c r="K37" s="157"/>
      <x:c r="L37" s="157"/>
      <x:c r="M37" s="157"/>
      <x:c r="N37" s="157"/>
      <x:c r="O37" s="157"/>
      <x:c r="P37" s="157"/>
      <x:c r="Q37" s="157"/>
      <x:c r="R37" s="158"/>
      <x:c r="T37" s="197"/>
      <x:c r="U37" s="197"/>
      <x:c r="V37" s="197"/>
      <x:c r="W37" s="197"/>
      <x:c r="X37" s="197"/>
      <x:c r="Y37" s="197"/>
      <x:c r="Z37" s="197"/>
      <x:c r="AA37" s="197"/>
      <x:c r="AB37" s="197"/>
      <x:c r="AC37" s="197"/>
      <x:c r="AD37" s="197"/>
      <x:c r="AE37" s="197"/>
      <x:c r="AF37" s="197"/>
      <x:c r="AG37" s="197"/>
    </x:row>
    <x:row r="38" spans="1:37" ht="15.75" customHeight="1" x14ac:dyDescent="0.3">
      <x:c r="A38" s="259" t="s">
        <x:v>226</x:v>
      </x:c>
      <x:c r="B38" s="312">
        <x:f>MEDIAN(B28:B36)</x:f>
      </x:c>
      <x:c r="C38" s="312">
        <x:f>MEDIAN(C28:C36)</x:f>
      </x:c>
      <x:c r="D38" s="312">
        <x:f>MEDIAN(D28:D36)</x:f>
      </x:c>
      <x:c r="E38" s="312">
        <x:f>MEDIAN(E28:E36)</x:f>
      </x:c>
      <x:c r="F38" s="312">
        <x:f>MEDIAN(F28:F36)</x:f>
      </x:c>
      <x:c r="G38" s="313"/>
      <x:c r="H38" s="170"/>
      <x:c r="I38" s="135"/>
      <x:c r="J38" s="1"/>
      <x:c r="K38" s="1"/>
      <x:c r="L38" s="1"/>
      <x:c r="M38" s="1"/>
      <x:c r="N38" s="1"/>
      <x:c r="O38" s="1"/>
      <x:c r="P38" s="1"/>
      <x:c r="Q38" s="1"/>
      <x:c r="R38" s="160"/>
      <x:c r="T38" s="197"/>
      <x:c r="U38" s="197"/>
      <x:c r="V38" s="197"/>
      <x:c r="W38" s="197"/>
      <x:c r="X38" s="197"/>
      <x:c r="Y38" s="197"/>
      <x:c r="Z38" s="197"/>
      <x:c r="AA38" s="197"/>
      <x:c r="AB38" s="197"/>
      <x:c r="AC38" s="197"/>
      <x:c r="AD38" s="197"/>
      <x:c r="AE38" s="197"/>
      <x:c r="AF38" s="197"/>
      <x:c r="AG38" s="197"/>
    </x:row>
    <x:row r="39" spans="1:37" ht="15.75" customHeight="1" x14ac:dyDescent="0.25">
      <x:c r="A39" s="202" t="s">
        <x:v>199</x:v>
      </x:c>
      <x:c r="B39" s="203"/>
      <x:c r="C39" s="203"/>
      <x:c r="D39" s="203"/>
      <x:c r="E39" s="203"/>
      <x:c r="F39" s="203"/>
      <x:c r="G39" s="203"/>
      <x:c r="H39" s="203"/>
      <x:c r="I39" s="203"/>
      <x:c r="J39" s="203"/>
      <x:c r="K39" s="203"/>
      <x:c r="L39" s="203"/>
      <x:c r="M39" s="203"/>
      <x:c r="N39" s="203"/>
      <x:c r="O39" s="203"/>
      <x:c r="P39" s="203"/>
      <x:c r="Q39" s="203"/>
      <x:c r="R39" s="204"/>
      <x:c r="T39" s="197"/>
      <x:c r="U39" s="197"/>
      <x:c r="V39" s="197"/>
      <x:c r="W39" s="197"/>
      <x:c r="X39" s="197"/>
      <x:c r="Y39" s="197"/>
      <x:c r="Z39" s="197"/>
      <x:c r="AA39" s="197"/>
      <x:c r="AB39" s="197"/>
      <x:c r="AC39" s="197"/>
      <x:c r="AD39" s="197"/>
      <x:c r="AE39" s="197"/>
      <x:c r="AF39" s="197"/>
      <x:c r="AG39" s="197"/>
    </x:row>
    <x:row r="40" spans="1:37" ht="15.75" customHeight="1" x14ac:dyDescent="0.3">
      <x:c r="A40" s="205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206"/>
      <x:c r="M40" s="206"/>
      <x:c r="N40" s="206"/>
      <x:c r="O40" s="206"/>
      <x:c r="P40" s="206"/>
      <x:c r="Q40" s="206"/>
      <x:c r="R40" s="207"/>
      <x:c r="T40" s="201" t="s">
        <x:v>241</x:v>
      </x:c>
      <x:c r="U40" s="201"/>
      <x:c r="V40" s="201"/>
      <x:c r="W40" s="201"/>
      <x:c r="X40" s="201"/>
      <x:c r="Y40" s="201"/>
      <x:c r="Z40" s="201"/>
      <x:c r="AA40" s="201"/>
      <x:c r="AB40" s="201"/>
      <x:c r="AC40" s="201"/>
      <x:c r="AD40" s="201"/>
      <x:c r="AE40" s="201"/>
      <x:c r="AF40" s="201"/>
      <x:c r="AG40" s="201"/>
      <x:c r="AH40" s="201"/>
      <x:c r="AI40" s="201"/>
      <x:c r="AJ40" s="201"/>
      <x:c r="AK40" s="201"/>
    </x:row>
    <x:row r="41" spans="1:37" ht="15" customHeight="1" x14ac:dyDescent="0.25">
      <x:c r="A41" s="173" t="s">
        <x:v>172</x:v>
      </x:c>
      <x:c r="B41" s="174"/>
      <x:c r="C41" s="174"/>
      <x:c r="D41" s="174"/>
      <x:c r="E41" s="174"/>
      <x:c r="F41" s="174"/>
      <x:c r="G41" s="174"/>
      <x:c r="H41" s="174"/>
      <x:c r="I41" s="174"/>
      <x:c r="J41" s="174"/>
      <x:c r="K41" s="174"/>
      <x:c r="L41" s="174"/>
      <x:c r="M41" s="174"/>
      <x:c r="N41" s="174"/>
      <x:c r="O41" s="174"/>
      <x:c r="P41" s="174"/>
      <x:c r="Q41" s="174"/>
      <x:c r="R41" s="175"/>
      <x:c r="T41" s="201"/>
      <x:c r="U41" s="201"/>
      <x:c r="V41" s="201"/>
      <x:c r="W41" s="201"/>
      <x:c r="X41" s="201"/>
      <x:c r="Y41" s="201"/>
      <x:c r="Z41" s="201"/>
      <x:c r="AA41" s="201"/>
      <x:c r="AB41" s="201"/>
      <x:c r="AC41" s="201"/>
      <x:c r="AD41" s="201"/>
      <x:c r="AE41" s="201"/>
      <x:c r="AF41" s="201"/>
      <x:c r="AG41" s="201"/>
      <x:c r="AH41" s="201"/>
      <x:c r="AI41" s="201"/>
      <x:c r="AJ41" s="201"/>
      <x:c r="AK41" s="201"/>
    </x:row>
    <x:row r="42" spans="1:37" ht="15" customHeight="1" x14ac:dyDescent="0.3">
      <x:c r="A42" s="176"/>
      <x:c r="B42" s="177"/>
      <x:c r="C42" s="177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  <x:c r="O42" s="177"/>
      <x:c r="P42" s="177"/>
      <x:c r="Q42" s="177"/>
      <x:c r="R42" s="178"/>
      <x:c r="T42" s="201"/>
      <x:c r="U42" s="201"/>
      <x:c r="V42" s="201"/>
      <x:c r="W42" s="201"/>
      <x:c r="X42" s="201"/>
      <x:c r="Y42" s="201"/>
      <x:c r="Z42" s="201"/>
      <x:c r="AA42" s="201"/>
      <x:c r="AB42" s="201"/>
      <x:c r="AC42" s="201"/>
      <x:c r="AD42" s="201"/>
      <x:c r="AE42" s="201"/>
      <x:c r="AF42" s="201"/>
      <x:c r="AG42" s="201"/>
      <x:c r="AH42" s="201"/>
      <x:c r="AI42" s="201"/>
      <x:c r="AJ42" s="201"/>
      <x:c r="AK42" s="201"/>
    </x:row>
    <x:row r="43" spans="1:37" ht="15" customHeight="1" x14ac:dyDescent="0.3">
      <x:c r="A43" s="28" t="s">
        <x:v>0</x:v>
      </x:c>
      <x:c r="B43" s="187" t="s">
        <x:v>173</x:v>
      </x:c>
      <x:c r="C43" s="187" t="s">
        <x:v>174</x:v>
      </x:c>
      <x:c r="D43" s="188" t="s">
        <x:v>175</x:v>
      </x:c>
      <x:c r="E43" s="188"/>
      <x:c r="F43" s="188"/>
      <x:c r="G43" s="189" t="s">
        <x:v>242</x:v>
      </x:c>
      <x:c r="H43" s="187" t="s">
        <x:v>177</x:v>
      </x:c>
      <x:c r="I43" s="190" t="s">
        <x:v>178</x:v>
      </x:c>
      <x:c r="J43" s="190" t="s">
        <x:v>179</x:v>
      </x:c>
      <x:c r="K43" s="190" t="s">
        <x:v>180</x:v>
      </x:c>
      <x:c r="L43" s="190" t="s">
        <x:v>181</x:v>
      </x:c>
      <x:c r="M43" s="190" t="s">
        <x:v>182</x:v>
      </x:c>
      <x:c r="N43" s="190" t="s">
        <x:v>183</x:v>
      </x:c>
      <x:c r="O43" s="190" t="s">
        <x:v>184</x:v>
      </x:c>
      <x:c r="P43" s="191" t="s">
        <x:v>185</x:v>
      </x:c>
      <x:c r="Q43" s="196" t="s">
        <x:v>186</x:v>
      </x:c>
      <x:c r="R43" s="187" t="s">
        <x:v>187</x:v>
      </x:c>
      <x:c r="T43" s="201"/>
      <x:c r="U43" s="201"/>
      <x:c r="V43" s="201"/>
      <x:c r="W43" s="201"/>
      <x:c r="X43" s="201"/>
      <x:c r="Y43" s="201"/>
      <x:c r="Z43" s="201"/>
      <x:c r="AA43" s="201"/>
      <x:c r="AB43" s="201"/>
      <x:c r="AC43" s="201"/>
      <x:c r="AD43" s="201"/>
      <x:c r="AE43" s="201"/>
      <x:c r="AF43" s="201"/>
      <x:c r="AG43" s="201"/>
      <x:c r="AH43" s="201"/>
      <x:c r="AI43" s="201"/>
      <x:c r="AJ43" s="201"/>
      <x:c r="AK43" s="201"/>
    </x:row>
    <x:row r="44" spans="1:37" ht="15" customHeight="1" x14ac:dyDescent="0.3">
      <x:c r="A44" s="23">
        <x:f>MATCH("Среднее",A45:A1034,0)-1</x:f>
      </x:c>
      <x:c r="B44" s="2"/>
      <x:c r="C44" s="2"/>
      <x:c r="D44" s="2">
        <x:v>1</x:v>
      </x:c>
      <x:c r="E44" s="2">
        <x:v>2</x:v>
      </x:c>
      <x:c r="F44" s="2">
        <x:v>3</x:v>
      </x:c>
      <x:c r="G44" s="153"/>
      <x:c r="H44" s="2"/>
      <x:c r="I44" s="189"/>
      <x:c r="J44" s="189"/>
      <x:c r="K44" s="189"/>
      <x:c r="L44" s="189"/>
      <x:c r="M44" s="189"/>
      <x:c r="N44" s="189"/>
      <x:c r="O44" s="189"/>
      <x:c r="P44" s="187"/>
      <x:c r="Q44" s="187"/>
      <x:c r="R44" s="2"/>
      <x:c r="T44" s="197" t="s">
        <x:v>163</x:v>
      </x:c>
      <x:c r="U44" s="197"/>
      <x:c r="V44" s="197"/>
      <x:c r="W44" s="197"/>
      <x:c r="X44" s="197"/>
      <x:c r="Y44" s="197"/>
      <x:c r="Z44" s="197"/>
      <x:c r="AA44" s="197"/>
      <x:c r="AB44" s="197"/>
      <x:c r="AC44" s="197"/>
      <x:c r="AD44" s="197"/>
      <x:c r="AE44" s="197"/>
      <x:c r="AF44" s="197"/>
      <x:c r="AG44" s="197"/>
      <x:c r="AH44" s="197" t="s">
        <x:v>164</x:v>
      </x:c>
      <x:c r="AI44" s="197"/>
      <x:c r="AJ44" s="197"/>
      <x:c r="AK44" s="197"/>
    </x:row>
    <x:row r="45" spans="1:37" ht="15.75" customHeight="1" x14ac:dyDescent="0.3">
      <x:c r="A45" s="257" t="s">
        <x:v>11</x:v>
      </x:c>
      <x:c r="B45" s="16">
        <x:v>90</x:v>
      </x:c>
      <x:c r="C45" s="15">
        <x:v>90</x:v>
      </x:c>
      <x:c r="D45" s="15">
        <x:v>6</x:v>
      </x:c>
      <x:c r="E45" s="15">
        <x:v>6</x:v>
      </x:c>
      <x:c r="F45" s="15">
        <x:v>7</x:v>
      </x:c>
      <x:c r="G45" s="314" t="s">
        <x:v>243</x:v>
      </x:c>
      <x:c r="H45" s="293">
        <x:f>IF(AND(B45 &gt;=70, C45 &gt;=80, D45 &gt;=6, E45 &gt;=6, F45 &gt;=6, G45="+"), "+", "-")</x:f>
      </x:c>
      <x:c r="I45" s="303">
        <x:v>33927</x:v>
      </x:c>
      <x:c r="J45" s="304">
        <x:v>1427</x:v>
      </x:c>
      <x:c r="K45" s="304">
        <x:v>939</x:v>
      </x:c>
      <x:c r="L45" s="304">
        <x:v>42</x:v>
      </x:c>
      <x:c r="M45" s="305">
        <x:v>2.365</x:v>
      </x:c>
      <x:c r="N45" s="305">
        <x:v>0.12</x:v>
      </x:c>
      <x:c r="O45" s="305">
        <x:v>0.5</x:v>
      </x:c>
      <x:c r="P45" s="315" t="s">
        <x:v>209</x:v>
      </x:c>
      <x:c r="Q45" s="306" t="s">
        <x:v>233</x:v>
      </x:c>
      <x:c r="R45" s="26" t="s">
        <x:v>190</x:v>
      </x:c>
      <x:c r="T45" s="198" t="s">
        <x:v>165</x:v>
      </x:c>
      <x:c r="U45" s="198"/>
      <x:c r="V45" s="198" t="s">
        <x:v>166</x:v>
      </x:c>
      <x:c r="W45" s="198"/>
      <x:c r="X45" s="198" t="s">
        <x:v>167</x:v>
      </x:c>
      <x:c r="Y45" s="198"/>
      <x:c r="Z45" s="198" t="s">
        <x:v>168</x:v>
      </x:c>
      <x:c r="AA45" s="198"/>
      <x:c r="AB45" s="198" t="s">
        <x:v>169</x:v>
      </x:c>
      <x:c r="AC45" s="198"/>
      <x:c r="AD45" s="198" t="s">
        <x:v>170</x:v>
      </x:c>
      <x:c r="AE45" s="198"/>
      <x:c r="AF45" s="198" t="s">
        <x:v>171</x:v>
      </x:c>
      <x:c r="AG45" s="198"/>
      <x:c r="AH45" s="197"/>
      <x:c r="AI45" s="197"/>
      <x:c r="AJ45" s="197"/>
      <x:c r="AK45" s="197"/>
    </x:row>
    <x:row r="46" spans="1:37" ht="15.75" customHeight="1" x14ac:dyDescent="0.3">
      <x:c r="A46" s="257" t="s">
        <x:v>34</x:v>
      </x:c>
      <x:c r="B46" s="16">
        <x:v>90</x:v>
      </x:c>
      <x:c r="C46" s="15">
        <x:v>90</x:v>
      </x:c>
      <x:c r="D46" s="15">
        <x:v>6</x:v>
      </x:c>
      <x:c r="E46" s="15">
        <x:v>6</x:v>
      </x:c>
      <x:c r="F46" s="15">
        <x:v>7</x:v>
      </x:c>
      <x:c r="G46" s="314" t="s">
        <x:v>243</x:v>
      </x:c>
      <x:c r="H46" s="293">
        <x:f>IF(AND(B46 &gt;=70, C46 &gt;=80, D46 &gt;=6, E46 &gt;=6, F46 &gt;=6, G46="+"), "+", "-")</x:f>
      </x:c>
      <x:c r="I46" s="309">
        <x:v>16721</x:v>
      </x:c>
      <x:c r="J46" s="304">
        <x:v>992</x:v>
      </x:c>
      <x:c r="K46" s="304">
        <x:v>886</x:v>
      </x:c>
      <x:c r="L46" s="304">
        <x:v>838</x:v>
      </x:c>
      <x:c r="M46" s="305">
        <x:v>1.654</x:v>
      </x:c>
      <x:c r="N46" s="305">
        <x:v>0.186</x:v>
      </x:c>
      <x:c r="O46" s="305">
        <x:v>0.826</x:v>
      </x:c>
      <x:c r="P46" s="304" t="s">
        <x:v>204</x:v>
      </x:c>
      <x:c r="Q46" s="306" t="s">
        <x:v>244</x:v>
      </x:c>
      <x:c r="R46" s="200" t="s">
        <x:v>219</x:v>
      </x:c>
      <x:c r="T46" s="198"/>
      <x:c r="U46" s="198"/>
      <x:c r="V46" s="198"/>
      <x:c r="W46" s="198"/>
      <x:c r="X46" s="198"/>
      <x:c r="Y46" s="198"/>
      <x:c r="Z46" s="198"/>
      <x:c r="AA46" s="198"/>
      <x:c r="AB46" s="198"/>
      <x:c r="AC46" s="198"/>
      <x:c r="AD46" s="198"/>
      <x:c r="AE46" s="198"/>
      <x:c r="AF46" s="198"/>
      <x:c r="AG46" s="198"/>
      <x:c r="AH46" s="197"/>
      <x:c r="AI46" s="197"/>
      <x:c r="AJ46" s="197"/>
      <x:c r="AK46" s="197"/>
    </x:row>
    <x:row r="47" spans="1:37" ht="15.75" customHeight="1" x14ac:dyDescent="0.3">
      <x:c r="A47" s="257" t="s">
        <x:v>56</x:v>
      </x:c>
      <x:c r="B47" s="16">
        <x:v>90</x:v>
      </x:c>
      <x:c r="C47" s="15">
        <x:v>80</x:v>
      </x:c>
      <x:c r="D47" s="15">
        <x:v>6</x:v>
      </x:c>
      <x:c r="E47" s="15">
        <x:v>6</x:v>
      </x:c>
      <x:c r="F47" s="15">
        <x:v>6</x:v>
      </x:c>
      <x:c r="G47" s="314" t="s">
        <x:v>74</x:v>
      </x:c>
      <x:c r="H47" s="293">
        <x:f>IF(AND(B47 &gt;=70, C47 &gt;=80, D47 &gt;=6, E47 &gt;=6, F47 &gt;=6, G47="+"), "+", "-")</x:f>
      </x:c>
      <x:c r="I47" s="302">
        <x:v>0</x:v>
      </x:c>
      <x:c r="J47" s="299">
        <x:v>100</x:v>
      </x:c>
      <x:c r="K47" s="299">
        <x:v>628</x:v>
      </x:c>
      <x:c r="L47" s="299">
        <x:v>0</x:v>
      </x:c>
      <x:c r="M47" s="300"/>
      <x:c r="N47" s="300"/>
      <x:c r="O47" s="300"/>
      <x:c r="P47" s="299"/>
      <x:c r="Q47" s="301" t="s">
        <x:v>245</x:v>
      </x:c>
      <x:c r="R47" s="200"/>
      <x:c r="T47" s="287" t="s">
        <x:v>121</x:v>
      </x:c>
      <x:c r="U47" s="17">
        <x:f>IF((INDEX(INDIRECT("$A$6:$H$" &amp; $A$27 + $A$6 + 12), MATCH(T47,INDIRECT("$A$6:$A$" &amp; $A$27 + $A$6 + 12), 0), 2)&gt;=70), "+", "-")</x:f>
      </x:c>
      <x:c r="V47" s="288" t="s">
        <x:v>113</x:v>
      </x:c>
      <x:c r="W47" s="17">
        <x:f>IF((INDEX(INDIRECT("$A$6:$H$" &amp; $A$27 + $A$6 + 12), MATCH(V47,INDIRECT("$A$6:$A$" &amp; $A$27 + $A$6 + 12), 0), 2)&gt;=70), "+", "-")</x:f>
      </x:c>
      <x:c r="X47" s="289" t="s">
        <x:v>145</x:v>
      </x:c>
      <x:c r="Y47" s="17">
        <x:f>IF((INDEX(INDIRECT("$A$6:$H$" &amp; $A$27 + $A$6 + 12), MATCH(X47,INDIRECT("$A$6:$A$" &amp; $A$27 + $A$6 + 12), 0), 2)&gt;=70), "+", "-")</x:f>
      </x:c>
      <x:c r="Z47" s="259" t="s">
        <x:v>148</x:v>
      </x:c>
      <x:c r="AA47" s="17">
        <x:f>IF((INDEX(INDIRECT("$A$6:$H$" &amp; $A$27 + $A$6 + 12), MATCH(Z47,INDIRECT("$A$6:$A$" &amp; $A$27 + $A$6 + 12), 0), 2)&gt;=70), "+", "-")</x:f>
      </x:c>
      <x:c r="AB47" s="257" t="s">
        <x:v>133</x:v>
      </x:c>
      <x:c r="AC47" s="17">
        <x:f>IF((INDEX(INDIRECT("$A$6:$H$" &amp; $A$27 + $A$6 + 12), MATCH(AB47,INDIRECT("$A$6:$A$" &amp; $A$27 + $A$6 + 12), 0), 2)&gt;=70), "+", "-")</x:f>
      </x:c>
      <x:c r="AD47" s="290" t="s">
        <x:v>118</x:v>
      </x:c>
      <x:c r="AE47" s="17">
        <x:f>IF((INDEX(INDIRECT("$A$6:$H$" &amp; $A$27 + $A$6 + 12), MATCH(AD47,INDIRECT("$A$6:$A$" &amp; $A$27 + $A$6 + 12), 0), 2)&gt;=70), "+", "-")</x:f>
      </x:c>
      <x:c r="AF47" s="291" t="s">
        <x:v>106</x:v>
      </x:c>
      <x:c r="AG47" s="17">
        <x:f>IF((INDEX(INDIRECT("$A$6:$H$" &amp; $A$27 + $A$6 + 12), MATCH(AF47,INDIRECT("$A$6:$A$" &amp; $A$27 + $A$6 + 12), 0), 2)&gt;=70), "+", "-")</x:f>
      </x:c>
      <x:c r="AH47" s="197">
        <x:f>COUNTIFS(T47:AG53,"+") &amp; "/" &amp; COUNTIFS(T47:AG53,"&lt;&gt; *txt*", T47:AG53,"?*") - COUNTIF(T47:AG53,"+") - COUNTIF(T47:AG53,"-") &amp; " (" &amp; ROUND(((COUNTIFS(T47:AG53,"+"))*100)/(COUNTIFS(T47:AG53,"&lt;&gt; *txt*", T47:AG53,"?*") - COUNTIF(T47:AG53,"+") - COUNTIF(T47:AG53,"-")), 0) &amp; "%)"</x:f>
      </x:c>
      <x:c r="AI47" s="197"/>
      <x:c r="AJ47" s="197"/>
      <x:c r="AK47" s="197"/>
    </x:row>
    <x:row r="48" spans="1:37" ht="15.75" customHeight="1" x14ac:dyDescent="0.3">
      <x:c r="A48" s="271" t="s">
        <x:v>153</x:v>
      </x:c>
      <x:c r="B48" s="16">
        <x:v>80</x:v>
      </x:c>
      <x:c r="C48" s="15">
        <x:v>80</x:v>
      </x:c>
      <x:c r="D48" s="15">
        <x:v>6</x:v>
      </x:c>
      <x:c r="E48" s="15">
        <x:v>6</x:v>
      </x:c>
      <x:c r="F48" s="15">
        <x:v>6</x:v>
      </x:c>
      <x:c r="G48" s="314" t="s">
        <x:v>74</x:v>
      </x:c>
      <x:c r="H48" s="293">
        <x:f>IF(AND(B48 &gt;=70, C48 &gt;=80, D48 &gt;=6, E48 &gt;=6, F48 &gt;=6, G48="+"), "+", "-")</x:f>
      </x:c>
      <x:c r="I48" s="298" t="s">
        <x:v>74</x:v>
      </x:c>
      <x:c r="J48" s="299">
        <x:v>2221</x:v>
      </x:c>
      <x:c r="K48" s="299" t="s">
        <x:v>74</x:v>
      </x:c>
      <x:c r="L48" s="299">
        <x:v>86</x:v>
      </x:c>
      <x:c r="M48" s="300">
        <x:v>1.272</x:v>
      </x:c>
      <x:c r="N48" s="300">
        <x:v>0.521</x:v>
      </x:c>
      <x:c r="O48" s="300">
        <x:v>1.534</x:v>
      </x:c>
      <x:c r="P48" s="316" t="s">
        <x:v>212</x:v>
      </x:c>
      <x:c r="Q48" s="317" t="s">
        <x:v>246</x:v>
      </x:c>
      <x:c r="R48" s="200"/>
      <x:c r="T48" s="287" t="s">
        <x:v>19</x:v>
      </x:c>
      <x:c r="U48" s="17">
        <x:f>IF((INDEX(INDIRECT("$A$6:$H$" &amp; $A$27 + $A$6 + 12), MATCH(T48,INDIRECT("$A$6:$A$" &amp; $A$27 + $A$6 + 12), 0), 2)&gt;=70), "+", "-")</x:f>
      </x:c>
      <x:c r="V48" s="288" t="s">
        <x:v>89</x:v>
      </x:c>
      <x:c r="W48" s="17">
        <x:f>IF((INDEX(INDIRECT("$A$6:$H$" &amp; $A$27 + $A$6 + 12), MATCH(V48,INDIRECT("$A$6:$A$" &amp; $A$27 + $A$6 + 12), 0), 2)&gt;=70), "+", "-")</x:f>
      </x:c>
      <x:c r="X48" s="289" t="s">
        <x:v>135</x:v>
      </x:c>
      <x:c r="Y48" s="17">
        <x:f>IF((INDEX(INDIRECT("$A$6:$H$" &amp; $A$27 + $A$6 + 12), MATCH(X48,INDIRECT("$A$6:$A$" &amp; $A$27 + $A$6 + 12), 0), 2)&gt;=70), "+", "-")</x:f>
      </x:c>
      <x:c r="Z48" s="259" t="s">
        <x:v>17</x:v>
      </x:c>
      <x:c r="AA48" s="17">
        <x:f>IF((INDEX(INDIRECT("$A$6:$H$" &amp; $A$27 + $A$6 + 12), MATCH(Z48,INDIRECT("$A$6:$A$" &amp; $A$27 + $A$6 + 12), 0), 2)&gt;=70), "+", "-")</x:f>
      </x:c>
      <x:c r="AB48" s="257" t="s">
        <x:v>102</x:v>
      </x:c>
      <x:c r="AC48" s="17">
        <x:f>IF((INDEX(INDIRECT("$A$6:$H$" &amp; $A$27 + $A$6 + 12), MATCH(AB48,INDIRECT("$A$6:$A$" &amp; $A$27 + $A$6 + 12), 0), 2)&gt;=70), "+", "-")</x:f>
      </x:c>
      <x:c r="AF48" s="291" t="s">
        <x:v>141</x:v>
      </x:c>
      <x:c r="AG48" s="17">
        <x:f>IF((INDEX(INDIRECT("$A$6:$H$" &amp; $A$27 + $A$6 + 12), MATCH(AF48,INDIRECT("$A$6:$A$" &amp; $A$27 + $A$6 + 12), 0), 2)&gt;=70), "+", "-")</x:f>
      </x:c>
      <x:c r="AH48" s="197"/>
      <x:c r="AI48" s="197"/>
      <x:c r="AJ48" s="197"/>
      <x:c r="AK48" s="197"/>
    </x:row>
    <x:row r="49" spans="1:37" ht="15.75" customHeight="1" x14ac:dyDescent="0.3">
      <x:c r="A49" s="271" t="s">
        <x:v>152</x:v>
      </x:c>
      <x:c r="B49" s="16">
        <x:v>70</x:v>
      </x:c>
      <x:c r="C49" s="15">
        <x:v>90</x:v>
      </x:c>
      <x:c r="D49" s="15">
        <x:v>6</x:v>
      </x:c>
      <x:c r="E49" s="15">
        <x:v>6</x:v>
      </x:c>
      <x:c r="F49" s="15">
        <x:v>6</x:v>
      </x:c>
      <x:c r="G49" s="314" t="s">
        <x:v>74</x:v>
      </x:c>
      <x:c r="H49" s="293">
        <x:f>IF(AND(B49 &gt;=70, C49 &gt;=80, D49 &gt;=6, E49 &gt;=6, F49 &gt;=6, G49="+"), "+", "-")</x:f>
      </x:c>
      <x:c r="I49" s="309">
        <x:v>15317</x:v>
      </x:c>
      <x:c r="J49" s="304">
        <x:v>1131</x:v>
      </x:c>
      <x:c r="K49" s="304">
        <x:v>2913</x:v>
      </x:c>
      <x:c r="L49" s="304">
        <x:v>21</x:v>
      </x:c>
      <x:c r="M49" s="305">
        <x:v>1.11</x:v>
      </x:c>
      <x:c r="N49" s="305">
        <x:v>0.454</x:v>
      </x:c>
      <x:c r="O49" s="305">
        <x:v>0.99</x:v>
      </x:c>
      <x:c r="P49" s="304" t="s">
        <x:v>247</x:v>
      </x:c>
      <x:c r="Q49" s="306" t="s">
        <x:v>248</x:v>
      </x:c>
      <x:c r="R49" s="200"/>
      <x:c r="T49" s="287" t="s">
        <x:v>130</x:v>
      </x:c>
      <x:c r="U49" s="17">
        <x:f>IF((INDEX(INDIRECT("$A$6:$H$" &amp; $A$27 + $A$6 + 12), MATCH(T49,INDIRECT("$A$6:$A$" &amp; $A$27 + $A$6 + 12), 0), 2)&gt;=70), "+", "-")</x:f>
      </x:c>
      <x:c r="V49" s="288" t="s">
        <x:v>128</x:v>
      </x:c>
      <x:c r="W49" s="17">
        <x:f>IF((INDEX(INDIRECT("$A$6:$H$" &amp; $A$27 + $A$6 + 12), MATCH(V49,INDIRECT("$A$6:$A$" &amp; $A$27 + $A$6 + 12), 0), 2)&gt;=70), "+", "-")</x:f>
      </x:c>
      <x:c r="X49" s="289" t="s">
        <x:v>147</x:v>
      </x:c>
      <x:c r="Y49" s="17">
        <x:f>IF((INDEX(INDIRECT("$A$6:$H$" &amp; $A$27 + $A$6 + 12), MATCH(X49,INDIRECT("$A$6:$A$" &amp; $A$27 + $A$6 + 12), 0), 2)&gt;=70), "+", "-")</x:f>
      </x:c>
      <x:c r="Z49" s="259" t="s">
        <x:v>155</x:v>
      </x:c>
      <x:c r="AA49" s="17">
        <x:f>IF((INDEX(INDIRECT("$A$6:$H$" &amp; $A$27 + $A$6 + 12), MATCH(Z49,INDIRECT("$A$6:$A$" &amp; $A$27 + $A$6 + 12), 0), 2)&gt;=70), "+", "-")</x:f>
      </x:c>
      <x:c r="AB49" s="257" t="s">
        <x:v>27</x:v>
      </x:c>
      <x:c r="AC49" s="17">
        <x:f>IF((INDEX(INDIRECT("$A$6:$H$" &amp; $A$27 + $A$6 + 12), MATCH(AB49,INDIRECT("$A$6:$A$" &amp; $A$27 + $A$6 + 12), 0), 2)&gt;=70), "+", "-")</x:f>
      </x:c>
      <x:c r="AH49" s="197"/>
      <x:c r="AI49" s="197"/>
      <x:c r="AJ49" s="197"/>
      <x:c r="AK49" s="197"/>
    </x:row>
    <x:row r="50" spans="1:37" ht="15.75" customHeight="1" x14ac:dyDescent="0.3">
      <x:c r="A50" s="271" t="s">
        <x:v>154</x:v>
      </x:c>
      <x:c r="B50" s="16">
        <x:v>70</x:v>
      </x:c>
      <x:c r="C50" s="15">
        <x:v>60</x:v>
      </x:c>
      <x:c r="D50" s="15">
        <x:v>6</x:v>
      </x:c>
      <x:c r="E50" s="15">
        <x:v>6</x:v>
      </x:c>
      <x:c r="F50" s="15">
        <x:v>6</x:v>
      </x:c>
      <x:c r="G50" s="314" t="s">
        <x:v>74</x:v>
      </x:c>
      <x:c r="H50" s="293">
        <x:f>IF(AND(B50 &gt;=70, C50 &gt;=80, D50 &gt;=6, E50 &gt;=6, F50 &gt;=6, G50="+"), "+", "-")</x:f>
      </x:c>
      <x:c r="I50" s="298">
        <x:v>14758</x:v>
      </x:c>
      <x:c r="J50" s="299">
        <x:v>633</x:v>
      </x:c>
      <x:c r="K50" s="299">
        <x:v>662</x:v>
      </x:c>
      <x:c r="L50" s="299">
        <x:v>517</x:v>
      </x:c>
      <x:c r="M50" s="300">
        <x:v>1.447</x:v>
      </x:c>
      <x:c r="N50" s="300">
        <x:v>0.05</x:v>
      </x:c>
      <x:c r="O50" s="300">
        <x:v>0.655</x:v>
      </x:c>
      <x:c r="P50" s="318" t="s">
        <x:v>249</x:v>
      </x:c>
      <x:c r="Q50" s="317" t="s">
        <x:v>250</x:v>
      </x:c>
      <x:c r="R50" s="200"/>
      <x:c r="X50" s="289" t="s">
        <x:v>22</x:v>
      </x:c>
      <x:c r="Y50" s="17">
        <x:f>IF((INDEX(INDIRECT("$A$6:$H$" &amp; $A$27 + $A$6 + 12), MATCH(X50,INDIRECT("$A$6:$A$" &amp; $A$27 + $A$6 + 12), 0), 2)&gt;=70), "+", "-")</x:f>
      </x:c>
      <x:c r="Z50" s="259" t="s">
        <x:v>124</x:v>
      </x:c>
      <x:c r="AA50" s="17">
        <x:f>IF((INDEX(INDIRECT("$A$6:$H$" &amp; $A$27 + $A$6 + 12), MATCH(Z50,INDIRECT("$A$6:$A$" &amp; $A$27 + $A$6 + 12), 0), 2)&gt;=70), "+", "-")</x:f>
      </x:c>
      <x:c r="AB50" s="257" t="s">
        <x:v>150</x:v>
      </x:c>
      <x:c r="AC50" s="17">
        <x:f>IF((INDEX(INDIRECT("$A$6:$H$" &amp; $A$27 + $A$6 + 12), MATCH(AB50,INDIRECT("$A$6:$A$" &amp; $A$27 + $A$6 + 12), 0), 2)&gt;=70), "+", "-")</x:f>
      </x:c>
      <x:c r="AH50" s="197"/>
      <x:c r="AI50" s="197"/>
      <x:c r="AJ50" s="197"/>
      <x:c r="AK50" s="197"/>
    </x:row>
    <x:row r="51" spans="1:37" ht="15.75" customHeight="1" x14ac:dyDescent="0.3">
      <x:c r="A51" s="257" t="s">
        <x:v>51</x:v>
      </x:c>
      <x:c r="B51" s="16">
        <x:v>70</x:v>
      </x:c>
      <x:c r="C51" s="15">
        <x:v>60</x:v>
      </x:c>
      <x:c r="D51" s="15">
        <x:v>6</x:v>
      </x:c>
      <x:c r="E51" s="15">
        <x:v>6</x:v>
      </x:c>
      <x:c r="F51" s="15">
        <x:v>6</x:v>
      </x:c>
      <x:c r="G51" s="314" t="s">
        <x:v>74</x:v>
      </x:c>
      <x:c r="H51" s="293">
        <x:f>IF(AND(B51 &gt;=70, C51 &gt;=80, D51 &gt;=6, E51 &gt;=6, F51 &gt;=6, G51="+"), "+", "-")</x:f>
      </x:c>
      <x:c r="I51" s="309">
        <x:v>10632</x:v>
      </x:c>
      <x:c r="J51" s="304">
        <x:v>640</x:v>
      </x:c>
      <x:c r="K51" s="304">
        <x:v>580</x:v>
      </x:c>
      <x:c r="L51" s="304">
        <x:v>0</x:v>
      </x:c>
      <x:c r="M51" s="305">
        <x:v>1</x:v>
      </x:c>
      <x:c r="N51" s="305">
        <x:v>0.05</x:v>
      </x:c>
      <x:c r="O51" s="305">
        <x:v>0.5</x:v>
      </x:c>
      <x:c r="P51" s="304" t="s">
        <x:v>74</x:v>
      </x:c>
      <x:c r="Q51" s="306" t="s">
        <x:v>251</x:v>
      </x:c>
      <x:c r="R51" s="200" t="s">
        <x:v>252</x:v>
      </x:c>
      <x:c r="X51" s="289" t="s">
        <x:v>151</x:v>
      </x:c>
      <x:c r="Y51" s="17">
        <x:f>IF((INDEX(INDIRECT("$A$6:$H$" &amp; $A$27 + $A$6 + 12), MATCH(X51,INDIRECT("$A$6:$A$" &amp; $A$27 + $A$6 + 12), 0), 2)&gt;=70), "+", "-")</x:f>
      </x:c>
      <x:c r="AH51" s="197"/>
      <x:c r="AI51" s="197"/>
      <x:c r="AJ51" s="197"/>
      <x:c r="AK51" s="197"/>
    </x:row>
    <x:row r="52" spans="1:37" ht="15.75" customHeight="1" x14ac:dyDescent="0.3">
      <x:c r="A52" s="257" t="s">
        <x:v>55</x:v>
      </x:c>
      <x:c r="B52" s="16">
        <x:v>40</x:v>
      </x:c>
      <x:c r="C52" s="15"/>
      <x:c r="D52" s="15">
        <x:v>1</x:v>
      </x:c>
      <x:c r="E52" s="15">
        <x:v>1</x:v>
      </x:c>
      <x:c r="F52" s="15">
        <x:v>1</x:v>
      </x:c>
      <x:c r="G52" s="314" t="s">
        <x:v>74</x:v>
      </x:c>
      <x:c r="H52" s="293">
        <x:f>IF(AND(B52 &gt;=70, C52 &gt;=80, D52 &gt;=6, E52 &gt;=6, F52 &gt;=6, G52="+"), "+", "-")</x:f>
      </x:c>
      <x:c r="I52" s="302"/>
      <x:c r="J52" s="299"/>
      <x:c r="K52" s="299"/>
      <x:c r="L52" s="299"/>
      <x:c r="M52" s="300"/>
      <x:c r="N52" s="300"/>
      <x:c r="O52" s="300"/>
      <x:c r="P52" s="299"/>
      <x:c r="Q52" s="301"/>
      <x:c r="R52" s="200"/>
      <x:c r="X52" s="289" t="s">
        <x:v>139</x:v>
      </x:c>
      <x:c r="Y52" s="17">
        <x:f>IF((INDEX(INDIRECT("$A$6:$H$" &amp; $A$27 + $A$6 + 12), MATCH(X52,INDIRECT("$A$6:$A$" &amp; $A$27 + $A$6 + 12), 0), 2)&gt;=70), "+", "-")</x:f>
      </x:c>
      <x:c r="AH52" s="197"/>
      <x:c r="AI52" s="197"/>
      <x:c r="AJ52" s="197"/>
      <x:c r="AK52" s="197"/>
    </x:row>
    <x:row r="53" spans="1:37" ht="15.75" customHeight="1" x14ac:dyDescent="0.3">
      <x:c r="A53" s="257" t="s">
        <x:v>50</x:v>
      </x:c>
      <x:c r="B53" s="16">
        <x:v>40</x:v>
      </x:c>
      <x:c r="C53" s="15"/>
      <x:c r="D53" s="15">
        <x:v>1</x:v>
      </x:c>
      <x:c r="E53" s="15">
        <x:v>1</x:v>
      </x:c>
      <x:c r="F53" s="15">
        <x:v>1</x:v>
      </x:c>
      <x:c r="G53" s="314" t="s">
        <x:v>74</x:v>
      </x:c>
      <x:c r="H53" s="293">
        <x:f>IF(AND(B53 &gt;=70, C53 &gt;=80, D53 &gt;=6, E53 &gt;=6, F53 &gt;=6, G53="+"), "+", "-")</x:f>
      </x:c>
      <x:c r="I53" s="302"/>
      <x:c r="J53" s="299"/>
      <x:c r="K53" s="299"/>
      <x:c r="L53" s="299"/>
      <x:c r="M53" s="300"/>
      <x:c r="N53" s="300"/>
      <x:c r="O53" s="300"/>
      <x:c r="P53" s="299"/>
      <x:c r="Q53" s="301"/>
      <x:c r="R53" s="200"/>
      <x:c r="AH53" s="197"/>
      <x:c r="AI53" s="197"/>
      <x:c r="AJ53" s="197"/>
      <x:c r="AK53" s="197"/>
    </x:row>
    <x:row r="54" spans="1:37" ht="15.75" customHeight="1" x14ac:dyDescent="0.3">
      <x:c r="A54" s="259" t="s">
        <x:v>223</x:v>
      </x:c>
      <x:c r="B54" s="27">
        <x:f>SUM(B45:B53)/COUNT(B45:B53)</x:f>
      </x:c>
      <x:c r="C54" s="27">
        <x:f>SUM(C45:C53)/COUNT(C45:C53)</x:f>
      </x:c>
      <x:c r="D54" s="27">
        <x:f>SUM(D45:D53)/COUNT(D45:D53)</x:f>
      </x:c>
      <x:c r="E54" s="27">
        <x:f>SUM(E45:E53)/COUNT(E45:E53)</x:f>
      </x:c>
      <x:c r="F54" s="27">
        <x:f>SUM(F45:F53)/COUNT(F45:F53)</x:f>
      </x:c>
      <x:c r="G54" s="179">
        <x:f>COUNTIF(H45:H53,"+") &amp; "/" &amp; A44 &amp; " (" &amp; ROUND(COUNTIF(H45:H53,"+")*100/A44, 0) &amp; "%)"</x:f>
      </x:c>
      <x:c r="H54" s="168"/>
      <x:c r="I54" s="171"/>
      <x:c r="J54" s="157"/>
      <x:c r="K54" s="157"/>
      <x:c r="L54" s="157"/>
      <x:c r="M54" s="157"/>
      <x:c r="N54" s="157"/>
      <x:c r="O54" s="157"/>
      <x:c r="P54" s="157"/>
      <x:c r="Q54" s="157"/>
      <x:c r="R54" s="158"/>
      <x:c r="T54" s="197" t="s">
        <x:v>199</x:v>
      </x:c>
      <x:c r="U54" s="197"/>
      <x:c r="V54" s="197"/>
      <x:c r="W54" s="197"/>
      <x:c r="X54" s="197"/>
      <x:c r="Y54" s="197"/>
      <x:c r="Z54" s="197"/>
      <x:c r="AA54" s="197"/>
      <x:c r="AB54" s="197"/>
      <x:c r="AC54" s="197"/>
      <x:c r="AD54" s="197"/>
      <x:c r="AE54" s="197"/>
      <x:c r="AF54" s="197"/>
      <x:c r="AG54" s="197"/>
      <x:c r="AH54" s="197" t="s">
        <x:v>164</x:v>
      </x:c>
      <x:c r="AI54" s="197"/>
      <x:c r="AJ54" s="197"/>
      <x:c r="AK54" s="197"/>
    </x:row>
    <x:row r="55" spans="1:37" ht="15.75" customHeight="1" x14ac:dyDescent="0.3">
      <x:c r="A55" s="259" t="s">
        <x:v>226</x:v>
      </x:c>
      <x:c r="B55" s="7">
        <x:f>MEDIAN(B45:B53)</x:f>
      </x:c>
      <x:c r="C55" s="7">
        <x:f>MEDIAN(C45:C53)</x:f>
      </x:c>
      <x:c r="D55" s="7">
        <x:f>MEDIAN(D45:D53)</x:f>
      </x:c>
      <x:c r="E55" s="7">
        <x:f>MEDIAN(E45:E53)</x:f>
      </x:c>
      <x:c r="F55" s="7">
        <x:f>MEDIAN(F45:F53)</x:f>
      </x:c>
      <x:c r="G55" s="208"/>
      <x:c r="H55" s="209"/>
      <x:c r="I55" s="210"/>
      <x:c r="J55" s="211"/>
      <x:c r="K55" s="211"/>
      <x:c r="L55" s="211"/>
      <x:c r="M55" s="211"/>
      <x:c r="N55" s="211"/>
      <x:c r="O55" s="211"/>
      <x:c r="P55" s="211"/>
      <x:c r="Q55" s="211"/>
      <x:c r="R55" s="212"/>
      <x:c r="T55" s="197"/>
      <x:c r="U55" s="197"/>
      <x:c r="V55" s="197"/>
      <x:c r="W55" s="197"/>
      <x:c r="X55" s="197"/>
      <x:c r="Y55" s="197"/>
      <x:c r="Z55" s="197"/>
      <x:c r="AA55" s="197"/>
      <x:c r="AB55" s="197"/>
      <x:c r="AC55" s="197"/>
      <x:c r="AD55" s="197"/>
      <x:c r="AE55" s="197"/>
      <x:c r="AF55" s="197"/>
      <x:c r="AG55" s="197"/>
      <x:c r="AH55" s="197"/>
      <x:c r="AI55" s="197"/>
      <x:c r="AJ55" s="197"/>
      <x:c r="AK55" s="197"/>
    </x:row>
    <x:row r="56" spans="1:37" ht="15.75" customHeight="1" x14ac:dyDescent="0.3">
      <x:c r="A56" s="173" t="s">
        <x:v>227</x:v>
      </x:c>
      <x:c r="B56" s="174"/>
      <x:c r="C56" s="174"/>
      <x:c r="D56" s="174"/>
      <x:c r="E56" s="174"/>
      <x:c r="F56" s="174"/>
      <x:c r="G56" s="174"/>
      <x:c r="H56" s="174"/>
      <x:c r="I56" s="174"/>
      <x:c r="J56" s="174"/>
      <x:c r="K56" s="174"/>
      <x:c r="L56" s="174"/>
      <x:c r="M56" s="174"/>
      <x:c r="N56" s="174"/>
      <x:c r="O56" s="174"/>
      <x:c r="P56" s="174"/>
      <x:c r="Q56" s="174"/>
      <x:c r="R56" s="175"/>
      <x:c r="T56" s="287" t="s">
        <x:v>154</x:v>
      </x:c>
      <x:c r="U56" s="308">
        <x:f>IF((INDEX(INDIRECT("$A$" &amp; $A$27 + $A$6 + 21 &amp; ":$H$" &amp; $A$27 + $A$6 + 20 + $A$44 + 6 + $A$59), MATCH(T56,INDIRECT("$A$" &amp; $A$27 + $A$6 + 21 &amp; ":$A$" &amp; $A$27 + $A$6 + 20 + $A$44+ 6 + $A$59), 0), 2)&gt;=70), "+", "-")</x:f>
      </x:c>
      <x:c r="V56" s="288" t="s">
        <x:v>153</x:v>
      </x:c>
      <x:c r="W56" s="308">
        <x:f>IF((INDEX(INDIRECT("$A$" &amp; $A$27 + $A$6 + 21 &amp; ":$H$" &amp; $A$27 + $A$6 + 20 + $A$44 + 6 + $A$59), MATCH(V56,INDIRECT("$A$" &amp; $A$27 + $A$6 + 21 &amp; ":$A$" &amp; $A$27 + $A$6 + 20 + $A$44+ 6 + $A$59), 0), 2)&gt;=70), "+", "-")</x:f>
      </x:c>
      <x:c r="X56" s="289" t="s">
        <x:v>47</x:v>
      </x:c>
      <x:c r="Y56" s="308">
        <x:f>IF((INDEX(INDIRECT("$A$" &amp; $A$27 + $A$6 + 21 &amp; ":$H$" &amp; $A$27 + $A$6 + 20 + $A$44 + 6 + $A$59), MATCH(X56,INDIRECT("$A$" &amp; $A$27 + $A$6 + 21 &amp; ":$A$" &amp; $A$27 + $A$6 + 20 + $A$44+ 6 + $A$59), 0), 2)&gt;=70), "+", "-")</x:f>
      </x:c>
      <x:c r="Z56" s="259" t="s">
        <x:v>11</x:v>
      </x:c>
      <x:c r="AA56" s="308">
        <x:f>IF((INDEX(INDIRECT("$A$" &amp; $A$27 + $A$6 + 21 &amp; ":$H$" &amp; $A$27 + $A$6 + 20 + $A$44 + 6 + $A$59), MATCH(Z56,INDIRECT("$A$" &amp; $A$27 + $A$6 + 21 &amp; ":$A$" &amp; $A$27 + $A$6 + 20 + $A$44+ 6 + $A$59), 0), 2)&gt;=70), "+", "-")</x:f>
      </x:c>
      <x:c r="AB56" s="257" t="s">
        <x:v>51</x:v>
      </x:c>
      <x:c r="AC56" s="308">
        <x:f>IF((INDEX(INDIRECT("$A$" &amp; $A$27 + $A$6 + 21 &amp; ":$H$" &amp; $A$27 + $A$6 + 20 + $A$44 + 6 + $A$59), MATCH(AB56,INDIRECT("$A$" &amp; $A$27 + $A$6 + 21 &amp; ":$A$" &amp; $A$27 + $A$6 + 20 + $A$44+ 6 + $A$59), 0), 2)&gt;=70), "+", "-")</x:f>
      </x:c>
      <x:c r="AD56" s="290" t="s">
        <x:v>25</x:v>
      </x:c>
      <x:c r="AE56" s="308">
        <x:f>IF((INDEX(INDIRECT("$A$" &amp; $A$27 + $A$6 + 21 &amp; ":$H$" &amp; $A$27 + $A$6 + 20 + $A$44 + 6 + $A$59), MATCH(AD56,INDIRECT("$A$" &amp; $A$27 + $A$6 + 21 &amp; ":$A$" &amp; $A$27 + $A$6 + 20 + $A$44+ 6 + $A$59), 0), 2)&gt;=70), "+", "-")</x:f>
      </x:c>
      <x:c r="AF56" s="291" t="s">
        <x:v>63</x:v>
      </x:c>
      <x:c r="AG56" s="308">
        <x:f>IF((INDEX(INDIRECT("$A$" &amp; $A$27 + $A$6 + 21 &amp; ":$H$" &amp; $A$27 + $A$6 + 20 + $A$44 + 6 + $A$59), MATCH(AF56,INDIRECT("$A$" &amp; $A$27 + $A$6 + 21 &amp; ":$A$" &amp; $A$27 + $A$6 + 20 + $A$44+ 6 + $A$59), 0), 2)&gt;=70), "+", "-")</x:f>
      </x:c>
      <x:c r="AH56" s="197">
        <x:f>COUNTIFS(T56:AG59,"+") &amp; "/" &amp; COUNTIF(T56:AG59,"?*") - COUNTIF(T56:AG59,"+") - COUNTIF(T56:AG59,"-") &amp; " (" &amp; ROUND(((COUNTIFS(T56:AG59,"+"))*100)/(COUNTIF(T56:AG59,"?*") - COUNTIF(T56:AG59,"+") - COUNTIF(T56:AG59,"-")), 0) &amp; "%)"</x:f>
      </x:c>
      <x:c r="AI56" s="197"/>
      <x:c r="AJ56" s="197"/>
      <x:c r="AK56" s="197"/>
    </x:row>
    <x:row r="57" spans="1:37" ht="15.75" customHeight="1" x14ac:dyDescent="0.3">
      <x:c r="A57" s="176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8"/>
      <x:c r="S57" s="11"/>
      <x:c r="T57" s="287" t="s">
        <x:v>55</x:v>
      </x:c>
      <x:c r="U57" s="308">
        <x:f>IF((INDEX(INDIRECT("$A$" &amp; $A$27 + $A$6 + 21 &amp; ":$H$" &amp; $A$27 + $A$6 + 20 + $A$44 + 6 + $A$59), MATCH(T57,INDIRECT("$A$" &amp; $A$27 + $A$6 + 21 &amp; ":$A$" &amp; $A$27 + $A$6 + 20 + $A$44+ 6 + $A$59), 0), 2)&gt;=70), "+", "-")</x:f>
      </x:c>
      <x:c r="V57" s="288" t="s">
        <x:v>56</x:v>
      </x:c>
      <x:c r="W57" s="308">
        <x:f>IF((INDEX(INDIRECT("$A$" &amp; $A$27 + $A$6 + 21 &amp; ":$H$" &amp; $A$27 + $A$6 + 20 + $A$44 + 6 + $A$59), MATCH(V57,INDIRECT("$A$" &amp; $A$27 + $A$6 + 21 &amp; ":$A$" &amp; $A$27 + $A$6 + 20 + $A$44+ 6 + $A$59), 0), 2)&gt;=70), "+", "-")</x:f>
      </x:c>
      <x:c r="Z57" s="259" t="s">
        <x:v>38</x:v>
      </x:c>
      <x:c r="AA57" s="308">
        <x:f>IF((INDEX(INDIRECT("$A$" &amp; $A$27 + $A$6 + 21 &amp; ":$H$" &amp; $A$27 + $A$6 + 20 + $A$44 + 6 + $A$59), MATCH(Z57,INDIRECT("$A$" &amp; $A$27 + $A$6 + 21 &amp; ":$A$" &amp; $A$27 + $A$6 + 20 + $A$44+ 6 + $A$59), 0), 2)&gt;=70), "+", "-")</x:f>
      </x:c>
      <x:c r="AB57" s="257" t="s">
        <x:v>44</x:v>
      </x:c>
      <x:c r="AC57" s="308">
        <x:f>IF((INDEX(INDIRECT("$A$" &amp; $A$27 + $A$6 + 21 &amp; ":$H$" &amp; $A$27 + $A$6 + 20 + $A$44 + 6 + $A$59), MATCH(AB57,INDIRECT("$A$" &amp; $A$27 + $A$6 + 21 &amp; ":$A$" &amp; $A$27 + $A$6 + 20 + $A$44+ 6 + $A$59), 0), 2)&gt;=70), "+", "-")</x:f>
      </x:c>
      <x:c r="AD57" s="290" t="s">
        <x:v>48</x:v>
      </x:c>
      <x:c r="AE57" s="308">
        <x:f>IF((INDEX(INDIRECT("$A$" &amp; $A$27 + $A$6 + 21 &amp; ":$H$" &amp; $A$27 + $A$6 + 20 + $A$44 + 6 + $A$59), MATCH(AD57,INDIRECT("$A$" &amp; $A$27 + $A$6 + 21 &amp; ":$A$" &amp; $A$27 + $A$6 + 20 + $A$44+ 6 + $A$59), 0), 2)&gt;=70), "+", "-")</x:f>
      </x:c>
      <x:c r="AF57" s="291" t="s">
        <x:v>41</x:v>
      </x:c>
      <x:c r="AG57" s="308">
        <x:f>IF((INDEX(INDIRECT("$A$" &amp; $A$27 + $A$6 + 21 &amp; ":$H$" &amp; $A$27 + $A$6 + 20 + $A$44 + 6 + $A$59), MATCH(AF57,INDIRECT("$A$" &amp; $A$27 + $A$6 + 21 &amp; ":$A$" &amp; $A$27 + $A$6 + 20 + $A$44+ 6 + $A$59), 0), 2)&gt;=70), "+", "-")</x:f>
      </x:c>
      <x:c r="AH57" s="197"/>
      <x:c r="AI57" s="197"/>
      <x:c r="AJ57" s="197"/>
      <x:c r="AK57" s="197"/>
    </x:row>
    <x:row r="58" spans="1:37" ht="15.75" customHeight="1" x14ac:dyDescent="0.3">
      <x:c r="A58" s="28" t="s">
        <x:v>0</x:v>
      </x:c>
      <x:c r="B58" s="187" t="s">
        <x:v>173</x:v>
      </x:c>
      <x:c r="C58" s="187" t="s">
        <x:v>174</x:v>
      </x:c>
      <x:c r="D58" s="188" t="s">
        <x:v>175</x:v>
      </x:c>
      <x:c r="E58" s="188"/>
      <x:c r="F58" s="188"/>
      <x:c r="G58" s="189" t="s">
        <x:v>242</x:v>
      </x:c>
      <x:c r="H58" s="187" t="s">
        <x:v>177</x:v>
      </x:c>
      <x:c r="I58" s="190" t="s">
        <x:v>178</x:v>
      </x:c>
      <x:c r="J58" s="190" t="s">
        <x:v>179</x:v>
      </x:c>
      <x:c r="K58" s="190" t="s">
        <x:v>180</x:v>
      </x:c>
      <x:c r="L58" s="190" t="s">
        <x:v>181</x:v>
      </x:c>
      <x:c r="M58" s="190" t="s">
        <x:v>182</x:v>
      </x:c>
      <x:c r="N58" s="190" t="s">
        <x:v>183</x:v>
      </x:c>
      <x:c r="O58" s="190" t="s">
        <x:v>184</x:v>
      </x:c>
      <x:c r="P58" s="191" t="s">
        <x:v>185</x:v>
      </x:c>
      <x:c r="Q58" s="196" t="s">
        <x:v>186</x:v>
      </x:c>
      <x:c r="R58" s="187" t="s">
        <x:v>187</x:v>
      </x:c>
      <x:c r="V58" s="288" t="s">
        <x:v>34</x:v>
      </x:c>
      <x:c r="W58" s="308">
        <x:f>IF((INDEX(INDIRECT("$A$" &amp; $A$27 + $A$6 + 21 &amp; ":$H$" &amp; $A$27 + $A$6 + 20 + $A$44 + 6 + $A$59), MATCH(V58,INDIRECT("$A$" &amp; $A$27 + $A$6 + 21 &amp; ":$A$" &amp; $A$27 + $A$6 + 20 + $A$44+ 6 + $A$59), 0), 2)&gt;=70), "+", "-")</x:f>
      </x:c>
      <x:c r="Z58" s="259" t="s">
        <x:v>50</x:v>
      </x:c>
      <x:c r="AA58" s="308">
        <x:f>IF((INDEX(INDIRECT("$A$" &amp; $A$27 + $A$6 + 21 &amp; ":$H$" &amp; $A$27 + $A$6 + 20 + $A$44 + 6 + $A$59), MATCH(Z58,INDIRECT("$A$" &amp; $A$27 + $A$6 + 21 &amp; ":$A$" &amp; $A$27 + $A$6 + 20 + $A$44+ 6 + $A$59), 0), 2)&gt;=70), "+", "-")</x:f>
      </x:c>
      <x:c r="AB58" s="257" t="s">
        <x:v>46</x:v>
      </x:c>
      <x:c r="AC58" s="308">
        <x:f>IF((INDEX(INDIRECT("$A$" &amp; $A$27 + $A$6 + 21 &amp; ":$H$" &amp; $A$27 + $A$6 + 20 + $A$44 + 6 + $A$59), MATCH(AB58,INDIRECT("$A$" &amp; $A$27 + $A$6 + 21 &amp; ":$A$" &amp; $A$27 + $A$6 + 20 + $A$44+ 6 + $A$59), 0), 2)&gt;=70), "+", "-")</x:f>
      </x:c>
      <x:c r="AD58" s="290" t="s">
        <x:v>43</x:v>
      </x:c>
      <x:c r="AE58" s="308">
        <x:f>IF((INDEX(INDIRECT("$A$" &amp; $A$27 + $A$6 + 21 &amp; ":$H$" &amp; $A$27 + $A$6 + 20 + $A$44 + 6 + $A$59), MATCH(AD58,INDIRECT("$A$" &amp; $A$27 + $A$6 + 21 &amp; ":$A$" &amp; $A$27 + $A$6 + 20 + $A$44+ 6 + $A$59), 0), 2)&gt;=70), "+", "-")</x:f>
      </x:c>
      <x:c r="AF58" s="291" t="s">
        <x:v>58</x:v>
      </x:c>
      <x:c r="AG58" s="308">
        <x:f>IF((INDEX(INDIRECT("$A$" &amp; $A$27 + $A$6 + 21 &amp; ":$H$" &amp; $A$27 + $A$6 + 20 + $A$44 + 6 + $A$59), MATCH(AF58,INDIRECT("$A$" &amp; $A$27 + $A$6 + 21 &amp; ":$A$" &amp; $A$27 + $A$6 + 20 + $A$44+ 6 + $A$59), 0), 2)&gt;=70), "+", "-")</x:f>
      </x:c>
      <x:c r="AH58" s="197"/>
      <x:c r="AI58" s="197"/>
      <x:c r="AJ58" s="197"/>
      <x:c r="AK58" s="197"/>
    </x:row>
    <x:row r="59" spans="1:37" ht="15.75" customHeight="1" x14ac:dyDescent="0.3">
      <x:c r="A59" s="23">
        <x:f>MATCH("Среднее",A60:A1065,0)-1</x:f>
      </x:c>
      <x:c r="B59" s="2"/>
      <x:c r="C59" s="2"/>
      <x:c r="D59" s="2">
        <x:v>1</x:v>
      </x:c>
      <x:c r="E59" s="2">
        <x:v>2</x:v>
      </x:c>
      <x:c r="F59" s="2">
        <x:v>3</x:v>
      </x:c>
      <x:c r="G59" s="153"/>
      <x:c r="H59" s="2"/>
      <x:c r="I59" s="189"/>
      <x:c r="J59" s="189"/>
      <x:c r="K59" s="189"/>
      <x:c r="L59" s="189"/>
      <x:c r="M59" s="189"/>
      <x:c r="N59" s="189"/>
      <x:c r="O59" s="189"/>
      <x:c r="P59" s="187"/>
      <x:c r="Q59" s="187"/>
      <x:c r="R59" s="2"/>
      <x:c r="AB59" s="257" t="s">
        <x:v>68</x:v>
      </x:c>
      <x:c r="AC59" s="308">
        <x:f>IF((INDEX(INDIRECT("$A$" &amp; $A$27 + $A$6 + 21 &amp; ":$H$" &amp; $A$27 + $A$6 + 20 + $A$44 + 6 + $A$59), MATCH(AB59,INDIRECT("$A$" &amp; $A$27 + $A$6 + 21 &amp; ":$A$" &amp; $A$27 + $A$6 + 20 + $A$44+ 6 + $A$59), 0), 2)&gt;=70), "+", "-")</x:f>
      </x:c>
      <x:c r="AD59" s="290" t="s">
        <x:v>152</x:v>
      </x:c>
      <x:c r="AE59" s="308">
        <x:f>IF((INDEX(INDIRECT("$A$" &amp; $A$27 + $A$6 + 21 &amp; ":$H$" &amp; $A$27 + $A$6 + 20 + $A$44 + 6 + $A$59), MATCH(AD59,INDIRECT("$A$" &amp; $A$27 + $A$6 + 21 &amp; ":$A$" &amp; $A$27 + $A$6 + 20 + $A$44+ 6 + $A$59), 0), 2)&gt;=70), "+", "-")</x:f>
      </x:c>
      <x:c r="AH59" s="197"/>
      <x:c r="AI59" s="197"/>
      <x:c r="AJ59" s="197"/>
      <x:c r="AK59" s="197"/>
    </x:row>
    <x:row r="60" spans="1:37" ht="15.75" customHeight="1" x14ac:dyDescent="0.3">
      <x:c r="A60" s="257" t="s">
        <x:v>25</x:v>
      </x:c>
      <x:c r="B60" s="16">
        <x:v>90</x:v>
      </x:c>
      <x:c r="C60" s="15">
        <x:v>80</x:v>
      </x:c>
      <x:c r="D60" s="15">
        <x:v>6</x:v>
      </x:c>
      <x:c r="E60" s="15">
        <x:v>8</x:v>
      </x:c>
      <x:c r="F60" s="15">
        <x:v>6</x:v>
      </x:c>
      <x:c r="G60" s="314" t="s">
        <x:v>243</x:v>
      </x:c>
      <x:c r="H60" s="293">
        <x:f>IF(AND(B60 &gt;=70, C60 &gt;=80, D60 &gt;=6, E60 &gt;=6, F60 &gt;=6, G60="+"), "+", "-")</x:f>
      </x:c>
      <x:c r="I60" s="302"/>
      <x:c r="J60" s="299"/>
      <x:c r="K60" s="299"/>
      <x:c r="L60" s="299"/>
      <x:c r="M60" s="300"/>
      <x:c r="N60" s="300"/>
      <x:c r="O60" s="300"/>
      <x:c r="P60" s="304" t="s">
        <x:v>74</x:v>
      </x:c>
      <x:c r="Q60" s="306" t="s">
        <x:v>74</x:v>
      </x:c>
      <x:c r="R60" s="216"/>
      <x:c r="T60" s="197" t="s">
        <x:v>211</x:v>
      </x:c>
      <x:c r="U60" s="197"/>
      <x:c r="V60" s="197"/>
      <x:c r="W60" s="197"/>
      <x:c r="X60" s="197"/>
      <x:c r="Y60" s="197"/>
      <x:c r="Z60" s="197"/>
      <x:c r="AA60" s="197"/>
      <x:c r="AB60" s="197"/>
      <x:c r="AC60" s="197"/>
      <x:c r="AD60" s="197"/>
      <x:c r="AE60" s="197"/>
      <x:c r="AF60" s="197"/>
      <x:c r="AG60" s="197"/>
      <x:c r="AH60" s="197" t="s">
        <x:v>164</x:v>
      </x:c>
      <x:c r="AI60" s="197"/>
      <x:c r="AJ60" s="197"/>
      <x:c r="AK60" s="197"/>
    </x:row>
    <x:row r="61" spans="1:37" ht="15.75" customHeight="1" x14ac:dyDescent="0.3">
      <x:c r="A61" s="257" t="s">
        <x:v>43</x:v>
      </x:c>
      <x:c r="B61" s="16">
        <x:v>90</x:v>
      </x:c>
      <x:c r="C61" s="15">
        <x:v>80</x:v>
      </x:c>
      <x:c r="D61" s="15">
        <x:v>6</x:v>
      </x:c>
      <x:c r="E61" s="15">
        <x:v>6</x:v>
      </x:c>
      <x:c r="F61" s="15">
        <x:v>6</x:v>
      </x:c>
      <x:c r="G61" s="314" t="s">
        <x:v>74</x:v>
      </x:c>
      <x:c r="H61" s="293">
        <x:f>IF(AND(B61 &gt;=70, C61 &gt;=80, D61 &gt;=6, E61 &gt;=6, F61 &gt;=6, G61="+"), "+", "-")</x:f>
      </x:c>
      <x:c r="I61" s="309">
        <x:v>12755</x:v>
      </x:c>
      <x:c r="J61" s="304">
        <x:v>778</x:v>
      </x:c>
      <x:c r="K61" s="304">
        <x:v>1270</x:v>
      </x:c>
      <x:c r="L61" s="304">
        <x:v>23</x:v>
      </x:c>
      <x:c r="M61" s="305">
        <x:v>1</x:v>
      </x:c>
      <x:c r="N61" s="305">
        <x:v>0.12</x:v>
      </x:c>
      <x:c r="O61" s="305">
        <x:v>0.593</x:v>
      </x:c>
      <x:c r="P61" s="304" t="s">
        <x:v>249</x:v>
      </x:c>
      <x:c r="Q61" s="306" t="s">
        <x:v>253</x:v>
      </x:c>
      <x:c r="R61" s="217"/>
      <x:c r="T61" s="197"/>
      <x:c r="U61" s="197"/>
      <x:c r="V61" s="197"/>
      <x:c r="W61" s="197"/>
      <x:c r="X61" s="197"/>
      <x:c r="Y61" s="197"/>
      <x:c r="Z61" s="197"/>
      <x:c r="AA61" s="197"/>
      <x:c r="AB61" s="197"/>
      <x:c r="AC61" s="197"/>
      <x:c r="AD61" s="197"/>
      <x:c r="AE61" s="197"/>
      <x:c r="AF61" s="197"/>
      <x:c r="AG61" s="197"/>
      <x:c r="AH61" s="197"/>
      <x:c r="AI61" s="197"/>
      <x:c r="AJ61" s="197"/>
      <x:c r="AK61" s="197"/>
    </x:row>
    <x:row r="62" spans="1:37" ht="15.75" customHeight="1" x14ac:dyDescent="0.3">
      <x:c r="A62" s="257" t="s">
        <x:v>63</x:v>
      </x:c>
      <x:c r="B62" s="16">
        <x:v>90</x:v>
      </x:c>
      <x:c r="C62" s="15">
        <x:v>80</x:v>
      </x:c>
      <x:c r="D62" s="15">
        <x:v>6</x:v>
      </x:c>
      <x:c r="E62" s="15">
        <x:v>6</x:v>
      </x:c>
      <x:c r="F62" s="15">
        <x:v>6</x:v>
      </x:c>
      <x:c r="G62" s="314" t="s">
        <x:v>74</x:v>
      </x:c>
      <x:c r="H62" s="293">
        <x:f>IF(AND(B62 &gt;=70, C62 &gt;=80, D62 &gt;=6, E62 &gt;=6, F62 &gt;=6, G62="+"), "+", "-")</x:f>
      </x:c>
      <x:c r="I62" s="302"/>
      <x:c r="J62" s="299"/>
      <x:c r="K62" s="299"/>
      <x:c r="L62" s="299"/>
      <x:c r="M62" s="300"/>
      <x:c r="N62" s="300"/>
      <x:c r="O62" s="300"/>
      <x:c r="P62" s="299"/>
      <x:c r="Q62" s="301"/>
      <x:c r="R62" s="217"/>
      <x:c r="T62" s="287" t="s">
        <x:v>216</x:v>
      </x:c>
      <x:c r="U62" s="308">
        <x:f>IF((INDEX(INDIRECT("$A$" &amp; 6 + $A$6 + 6 + $A$27 + 8 + $A$44 + 6 + $A$59 + 7 &amp; ":$H$" &amp; 6 + $A$6 + 6 + $A$27 + 8 + $A$44 + 6 + $A$59 + 7 + $A$76), MATCH(T62,INDIRECT("$A$" &amp; 6 + $A$6 + 6 + $A$27 + 8 + $A$44 + 6 + $A$59 + 7 &amp; ":$A$" &amp; 6 + $A$6 + 6 + $A$27 + 8 + $A$44 + 6 + $A$59 + 7 + $A$76), 0), 2)&gt;=70), "+", "-")</x:f>
      </x:c>
      <x:c r="V62" s="288" t="s">
        <x:v>35</x:v>
      </x:c>
      <x:c r="W62" s="308">
        <x:f>IF((INDEX(INDIRECT("$A$" &amp; 6 + $A$6 + 6 + $A$27 + 8 + $A$44 + 6 + $A$59 + 7 &amp; ":$H$" &amp; 6 + $A$6 + 6 + $A$27 + 8 + $A$44 + 6 + $A$59 + 7 + $A$76), MATCH(V62,INDIRECT("$A$" &amp; 6 + $A$6 + 6 + $A$27 + 8 + $A$44 + 6 + $A$59 + 7 &amp; ":$A$" &amp; 6 + $A$6 + 6 + $A$27 + 8 + $A$44 + 6 + $A$59 + 7 + $A$76), 0), 2)&gt;=70), "+", "-")</x:f>
      </x:c>
      <x:c r="X62" s="289" t="s">
        <x:v>96</x:v>
      </x:c>
      <x:c r="Y62" s="308">
        <x:f>IF((INDEX(INDIRECT("$A$" &amp; 6 + $A$6 + 6 + $A$27 + 8 + $A$44 + 6 + $A$59 + 7 &amp; ":$H$" &amp; 6 + $A$6 + 6 + $A$27 + 8 + $A$44 + 6 + $A$59 + 7 + $A$76), MATCH(X62,INDIRECT("$A$" &amp; 6 + $A$6 + 6 + $A$27 + 8 + $A$44 + 6 + $A$59 + 7 &amp; ":$A$" &amp; 6 + $A$6 + 6 + $A$27 + 8 + $A$44 + 6 + $A$59 + 7 + $A$76), 0), 2)&gt;=70), "+", "-")</x:f>
      </x:c>
      <x:c r="Z62" s="259" t="s">
        <x:v>217</x:v>
      </x:c>
      <x:c r="AA62" s="308">
        <x:f>IF((INDEX(INDIRECT("$A$" &amp; 6 + $A$6 + 6 + $A$27 + 8 + $A$44 + 6 + $A$59 + 7 &amp; ":$H$" &amp; 6 + $A$6 + 6 + $A$27 + 8 + $A$44 + 6 + $A$59 + 7 + $A$76), MATCH(Z62,INDIRECT("$A$" &amp; 6 + $A$6 + 6 + $A$27 + 8 + $A$44 + 6 + $A$59 + 7 &amp; ":$A$" &amp; 6 + $A$6 + 6 + $A$27 + 8 + $A$44 + 6 + $A$59 + 7 + $A$76), 0), 2)&gt;=70), "+", "-")</x:f>
      </x:c>
      <x:c r="AB62" s="257" t="s">
        <x:v>66</x:v>
      </x:c>
      <x:c r="AC62" s="308">
        <x:f>IF((INDEX(INDIRECT("$A$" &amp; 6 + $A$6 + 6 + $A$27 + 8 + $A$44 + 6 + $A$59 + 7 &amp; ":$H$" &amp; 6 + $A$6 + 6 + $A$27 + 8 + $A$44 + 6 + $A$59 + 7 + $A$76), MATCH(AB62,INDIRECT("$A$" &amp; 6 + $A$6 + 6 + $A$27 + 8 + $A$44 + 6 + $A$59 + 7 &amp; ":$A$" &amp; 6 + $A$6 + 6 + $A$27 + 8 + $A$44 + 6 + $A$59 + 7 + $A$76), 0), 2)&gt;=70), "+", "-")</x:f>
      </x:c>
      <x:c r="AD62" s="290" t="s">
        <x:v>16</x:v>
      </x:c>
      <x:c r="AE62" s="308">
        <x:f>IF((INDEX(INDIRECT("$A$" &amp; 6 + $A$6 + 6 + $A$27 + 8 + $A$44 + 6 + $A$59 + 7 &amp; ":$H$" &amp; 6 + $A$6 + 6 + $A$27 + 8 + $A$44 + 6 + $A$59 + 7 + $A$76), MATCH(AD62,INDIRECT("$A$" &amp; 6 + $A$6 + 6 + $A$27 + 8 + $A$44 + 6 + $A$59 + 7 &amp; ":$A$" &amp; 6 + $A$6 + 6 + $A$27 + 8 + $A$44 + 6 + $A$59 + 7 + $A$76), 0), 2)&gt;=70), "+", "-")</x:f>
      </x:c>
      <x:c r="AF62" s="291" t="s">
        <x:v>57</x:v>
      </x:c>
      <x:c r="AG62" s="308">
        <x:f>IF((INDEX(INDIRECT("$A$" &amp; 6 + $A$6 + 6 + $A$27 + 8 + $A$44 + 6 + $A$59 + 7 &amp; ":$H$" &amp; 6 + $A$6 + 6 + $A$27 + 8 + $A$44 + 6 + $A$59 + 7 + $A$76), MATCH(AF62,INDIRECT("$A$" &amp; 6 + $A$6 + 6 + $A$27 + 8 + $A$44 + 6 + $A$59 + 7 &amp; ":$A$" &amp; 6 + $A$6 + 6 + $A$27 + 8 + $A$44 + 6 + $A$59 + 7 + $A$76), 0), 2)&gt;=70), "+", "-")</x:f>
      </x:c>
      <x:c r="AH62" s="197">
        <x:f>COUNTIFS(T62:AG68,"+") &amp; "/" &amp; COUNTIF(T62:AG68,"?*") - COUNTIF(T62:AG68,"+") - COUNTIF(T62:AG68,"-") &amp; " (" &amp; ROUND(((COUNTIFS(T62:AG68,"+"))*100)/(COUNTIF(T62:AG68,"?*") - COUNTIF(T62:AG68,"+") - COUNTIF(T62:AG68,"-")), 0) &amp; "%)"</x:f>
      </x:c>
      <x:c r="AI62" s="197"/>
      <x:c r="AJ62" s="197"/>
      <x:c r="AK62" s="197"/>
    </x:row>
    <x:row r="63" spans="1:37" ht="15.75" customHeight="1" x14ac:dyDescent="0.3">
      <x:c r="A63" s="257" t="s">
        <x:v>48</x:v>
      </x:c>
      <x:c r="B63" s="16">
        <x:v>80</x:v>
      </x:c>
      <x:c r="C63" s="15">
        <x:v>60</x:v>
      </x:c>
      <x:c r="D63" s="15">
        <x:v>1</x:v>
      </x:c>
      <x:c r="E63" s="15">
        <x:v>1</x:v>
      </x:c>
      <x:c r="F63" s="15">
        <x:v>1</x:v>
      </x:c>
      <x:c r="G63" s="314" t="s">
        <x:v>74</x:v>
      </x:c>
      <x:c r="H63" s="293">
        <x:f>IF(AND(B63 &gt;=70, C63 &gt;=80, D63 &gt;=6, E63 &gt;=6, F63 &gt;=6, G63="+"), "+", "-")</x:f>
      </x:c>
      <x:c r="I63" s="302"/>
      <x:c r="J63" s="299"/>
      <x:c r="K63" s="299"/>
      <x:c r="L63" s="299"/>
      <x:c r="M63" s="300"/>
      <x:c r="N63" s="300"/>
      <x:c r="O63" s="300"/>
      <x:c r="P63" s="299"/>
      <x:c r="Q63" s="301"/>
      <x:c r="R63" s="217"/>
      <x:c r="T63" s="287" t="s">
        <x:v>31</x:v>
      </x:c>
      <x:c r="U63" s="308">
        <x:f>IF((INDEX(INDIRECT("$A$" &amp; 6 + $A$6 + 6 + $A$27 + 8 + $A$44 + 6 + $A$59 + 7 &amp; ":$H$" &amp; 6 + $A$6 + 6 + $A$27 + 8 + $A$44 + 6 + $A$59 + 7 + $A$76), MATCH(T63,INDIRECT("$A$" &amp; 6 + $A$6 + 6 + $A$27 + 8 + $A$44 + 6 + $A$59 + 7 &amp; ":$A$" &amp; 6 + $A$6 + 6 + $A$27 + 8 + $A$44 + 6 + $A$59 + 7 + $A$76), 0), 2)&gt;=70), "+", "-")</x:f>
      </x:c>
      <x:c r="V63" s="288" t="s">
        <x:v>53</x:v>
      </x:c>
      <x:c r="W63" s="308">
        <x:f>IF((INDEX(INDIRECT("$A$" &amp; 6 + $A$6 + 6 + $A$27 + 8 + $A$44 + 6 + $A$59 + 7 &amp; ":$H$" &amp; 6 + $A$6 + 6 + $A$27 + 8 + $A$44 + 6 + $A$59 + 7 + $A$76), MATCH(V63,INDIRECT("$A$" &amp; 6 + $A$6 + 6 + $A$27 + 8 + $A$44 + 6 + $A$59 + 7 &amp; ":$A$" &amp; 6 + $A$6 + 6 + $A$27 + 8 + $A$44 + 6 + $A$59 + 7 + $A$76), 0), 2)&gt;=70), "+", "-")</x:f>
      </x:c>
      <x:c r="X63" s="289" t="s">
        <x:v>3</x:v>
      </x:c>
      <x:c r="Y63" s="308">
        <x:f>IF((INDEX(INDIRECT("$A$" &amp; 6 + $A$6 + 6 + $A$27 + 8 + $A$44 + 6 + $A$59 + 7 &amp; ":$H$" &amp; 6 + $A$6 + 6 + $A$27 + 8 + $A$44 + 6 + $A$59 + 7 + $A$76), MATCH(X63,INDIRECT("$A$" &amp; 6 + $A$6 + 6 + $A$27 + 8 + $A$44 + 6 + $A$59 + 7 &amp; ":$A$" &amp; 6 + $A$6 + 6 + $A$27 + 8 + $A$44 + 6 + $A$59 + 7 + $A$76), 0), 2)&gt;=70), "+", "-")</x:f>
      </x:c>
      <x:c r="Z63" s="259" t="s">
        <x:v>220</x:v>
      </x:c>
      <x:c r="AA63" s="308">
        <x:f>IF((INDEX(INDIRECT("$A$" &amp; 6 + $A$6 + 6 + $A$27 + 8 + $A$44 + 6 + $A$59 + 7 &amp; ":$H$" &amp; 6 + $A$6 + 6 + $A$27 + 8 + $A$44 + 6 + $A$59 + 7 + $A$76), MATCH(Z63,INDIRECT("$A$" &amp; 6 + $A$6 + 6 + $A$27 + 8 + $A$44 + 6 + $A$59 + 7 &amp; ":$A$" &amp; 6 + $A$6 + 6 + $A$27 + 8 + $A$44 + 6 + $A$59 + 7 + $A$76), 0), 2)&gt;=70), "+", "-")</x:f>
      </x:c>
      <x:c r="AB63" s="257" t="s">
        <x:v>52</x:v>
      </x:c>
      <x:c r="AC63" s="308">
        <x:f>IF((INDEX(INDIRECT("$A$" &amp; 6 + $A$6 + 6 + $A$27 + 8 + $A$44 + 6 + $A$59 + 7 &amp; ":$H$" &amp; 6 + $A$6 + 6 + $A$27 + 8 + $A$44 + 6 + $A$59 + 7 + $A$76), MATCH(AB63,INDIRECT("$A$" &amp; 6 + $A$6 + 6 + $A$27 + 8 + $A$44 + 6 + $A$59 + 7 &amp; ":$A$" &amp; 6 + $A$6 + 6 + $A$27 + 8 + $A$44 + 6 + $A$59 + 7 + $A$76), 0), 2)&gt;=70), "+", "-")</x:f>
      </x:c>
      <x:c r="AD63" s="290" t="s">
        <x:v>37</x:v>
      </x:c>
      <x:c r="AE63" s="308">
        <x:f>IF((INDEX(INDIRECT("$A$" &amp; 6 + $A$6 + 6 + $A$27 + 8 + $A$44 + 6 + $A$59 + 7 &amp; ":$H$" &amp; 6 + $A$6 + 6 + $A$27 + 8 + $A$44 + 6 + $A$59 + 7 + $A$76), MATCH(AD63,INDIRECT("$A$" &amp; 6 + $A$6 + 6 + $A$27 + 8 + $A$44 + 6 + $A$59 + 7 &amp; ":$A$" &amp; 6 + $A$6 + 6 + $A$27 + 8 + $A$44 + 6 + $A$59 + 7 + $A$76), 0), 2)&gt;=70), "+", "-")</x:f>
      </x:c>
      <x:c r="AH63" s="197"/>
      <x:c r="AI63" s="197"/>
      <x:c r="AJ63" s="197"/>
      <x:c r="AK63" s="197"/>
    </x:row>
    <x:row r="64" spans="1:37" ht="15.75" customHeight="1" x14ac:dyDescent="0.3">
      <x:c r="A64" s="257" t="s">
        <x:v>58</x:v>
      </x:c>
      <x:c r="B64" s="16">
        <x:v>40</x:v>
      </x:c>
      <x:c r="C64" s="15"/>
      <x:c r="D64" s="15">
        <x:v>1</x:v>
      </x:c>
      <x:c r="E64" s="15">
        <x:v>1</x:v>
      </x:c>
      <x:c r="F64" s="15">
        <x:v>1</x:v>
      </x:c>
      <x:c r="G64" s="314" t="s">
        <x:v>74</x:v>
      </x:c>
      <x:c r="H64" s="293">
        <x:f>IF(AND(B64 &gt;=70, C64 &gt;=80, D64 &gt;=6, E64 &gt;=6, F64 &gt;=6, G64="+"), "+", "-")</x:f>
      </x:c>
      <x:c r="I64" s="302"/>
      <x:c r="J64" s="299"/>
      <x:c r="K64" s="299"/>
      <x:c r="L64" s="299"/>
      <x:c r="M64" s="300"/>
      <x:c r="N64" s="300"/>
      <x:c r="O64" s="300"/>
      <x:c r="P64" s="299"/>
      <x:c r="Q64" s="301"/>
      <x:c r="R64" s="217"/>
      <x:c r="T64" s="287" t="s">
        <x:v>59</x:v>
      </x:c>
      <x:c r="U64" s="308">
        <x:f>IF((INDEX(INDIRECT("$A$" &amp; 6 + $A$6 + 6 + $A$27 + 8 + $A$44 + 6 + $A$59 + 7 &amp; ":$H$" &amp; 6 + $A$6 + 6 + $A$27 + 8 + $A$44 + 6 + $A$59 + 7 + $A$76), MATCH(T64,INDIRECT("$A$" &amp; 6 + $A$6 + 6 + $A$27 + 8 + $A$44 + 6 + $A$59 + 7 &amp; ":$A$" &amp; 6 + $A$6 + 6 + $A$27 + 8 + $A$44 + 6 + $A$59 + 7 + $A$76), 0), 2)&gt;=70), "+", "-")</x:f>
      </x:c>
      <x:c r="V64" s="319" t="s">
        <x:v>62</x:v>
      </x:c>
      <x:c r="W64" s="308">
        <x:f>IF((INDEX(INDIRECT("$A$" &amp; 6 + $A$6 + 6 + $A$27 + 8 + $A$44 + 6 + $A$59 + 7 &amp; ":$H$" &amp; 6 + $A$6 + 6 + $A$27 + 8 + $A$44 + 6 + $A$59 + 7 + $A$76), MATCH(V64,INDIRECT("$A$" &amp; 6 + $A$6 + 6 + $A$27 + 8 + $A$44 + 6 + $A$59 + 7 &amp; ":$A$" &amp; 6 + $A$6 + 6 + $A$27 + 8 + $A$44 + 6 + $A$59 + 7 + $A$76), 0), 2)&gt;=70), "+", "-")</x:f>
      </x:c>
      <x:c r="X64" s="289" t="s">
        <x:v>42</x:v>
      </x:c>
      <x:c r="Y64" s="308">
        <x:f>IF((INDEX(INDIRECT("$A$" &amp; 6 + $A$6 + 6 + $A$27 + 8 + $A$44 + 6 + $A$59 + 7 &amp; ":$H$" &amp; 6 + $A$6 + 6 + $A$27 + 8 + $A$44 + 6 + $A$59 + 7 + $A$76), MATCH(X64,INDIRECT("$A$" &amp; 6 + $A$6 + 6 + $A$27 + 8 + $A$44 + 6 + $A$59 + 7 &amp; ":$A$" &amp; 6 + $A$6 + 6 + $A$27 + 8 + $A$44 + 6 + $A$59 + 7 + $A$76), 0), 2)&gt;=70), "+", "-")</x:f>
      </x:c>
      <x:c r="Z64" s="259" t="s">
        <x:v>33</x:v>
      </x:c>
      <x:c r="AA64" s="308">
        <x:f>IF((INDEX(INDIRECT("$A$" &amp; 6 + $A$6 + 6 + $A$27 + 8 + $A$44 + 6 + $A$59 + 7 &amp; ":$H$" &amp; 6 + $A$6 + 6 + $A$27 + 8 + $A$44 + 6 + $A$59 + 7 + $A$76), MATCH(Z64,INDIRECT("$A$" &amp; 6 + $A$6 + 6 + $A$27 + 8 + $A$44 + 6 + $A$59 + 7 &amp; ":$A$" &amp; 6 + $A$6 + 6 + $A$27 + 8 + $A$44 + 6 + $A$59 + 7 + $A$76), 0), 2)&gt;=70), "+", "-")</x:f>
      </x:c>
      <x:c r="AB64" s="257" t="s">
        <x:v>20</x:v>
      </x:c>
      <x:c r="AC64" s="308">
        <x:f>IF((INDEX(INDIRECT("$A$" &amp; 6 + $A$6 + 6 + $A$27 + 8 + $A$44 + 6 + $A$59 + 7 &amp; ":$H$" &amp; 6 + $A$6 + 6 + $A$27 + 8 + $A$44 + 6 + $A$59 + 7 + $A$76), MATCH(AB64,INDIRECT("$A$" &amp; 6 + $A$6 + 6 + $A$27 + 8 + $A$44 + 6 + $A$59 + 7 &amp; ":$A$" &amp; 6 + $A$6 + 6 + $A$27 + 8 + $A$44 + 6 + $A$59 + 7 + $A$76), 0), 2)&gt;=70), "+", "-")</x:f>
      </x:c>
      <x:c r="AD64" s="290" t="s">
        <x:v>49</x:v>
      </x:c>
      <x:c r="AE64" s="308">
        <x:f>IF((INDEX(INDIRECT("$A$" &amp; 6 + $A$6 + 6 + $A$27 + 8 + $A$44 + 6 + $A$59 + 7 &amp; ":$H$" &amp; 6 + $A$6 + 6 + $A$27 + 8 + $A$44 + 6 + $A$59 + 7 + $A$76), MATCH(AD64,INDIRECT("$A$" &amp; 6 + $A$6 + 6 + $A$27 + 8 + $A$44 + 6 + $A$59 + 7 &amp; ":$A$" &amp; 6 + $A$6 + 6 + $A$27 + 8 + $A$44 + 6 + $A$59 + 7 + $A$76), 0), 2)&gt;=70), "+", "-")</x:f>
      </x:c>
      <x:c r="AH64" s="197"/>
      <x:c r="AI64" s="197"/>
      <x:c r="AJ64" s="197"/>
      <x:c r="AK64" s="197"/>
    </x:row>
    <x:row r="65" spans="1:37" ht="15.75" customHeight="1" x14ac:dyDescent="0.3">
      <x:c r="A65" s="257" t="s">
        <x:v>41</x:v>
      </x:c>
      <x:c r="B65" s="16">
        <x:v>70</x:v>
      </x:c>
      <x:c r="C65" s="15">
        <x:v>80</x:v>
      </x:c>
      <x:c r="D65" s="15">
        <x:v>6</x:v>
      </x:c>
      <x:c r="E65" s="15">
        <x:v>6</x:v>
      </x:c>
      <x:c r="F65" s="15">
        <x:v>6</x:v>
      </x:c>
      <x:c r="G65" s="314" t="s">
        <x:v>74</x:v>
      </x:c>
      <x:c r="H65" s="293">
        <x:f>IF(AND(B65 &gt;=70, C65 &gt;=80, D65 &gt;=6, E65 &gt;=6, F65 &gt;=6, G65="+"), "+", "-")</x:f>
      </x:c>
      <x:c r="I65" s="298" t="s">
        <x:v>74</x:v>
      </x:c>
      <x:c r="J65" s="299">
        <x:v>656</x:v>
      </x:c>
      <x:c r="K65" s="299" t="s">
        <x:v>74</x:v>
      </x:c>
      <x:c r="L65" s="299">
        <x:v>63</x:v>
      </x:c>
      <x:c r="M65" s="300">
        <x:v>1.559</x:v>
      </x:c>
      <x:c r="N65" s="300" t="s">
        <x:v>74</x:v>
      </x:c>
      <x:c r="O65" s="300" t="s">
        <x:v>74</x:v>
      </x:c>
      <x:c r="P65" s="316" t="s">
        <x:v>254</x:v>
      </x:c>
      <x:c r="Q65" s="317" t="s">
        <x:v>255</x:v>
      </x:c>
      <x:c r="R65" s="217"/>
      <x:c r="T65" s="287" t="s">
        <x:v>100</x:v>
      </x:c>
      <x:c r="U65" s="308">
        <x:f>IF((INDEX(INDIRECT("$A$" &amp; 6 + $A$6 + 6 + $A$27 + 8 + $A$44 + 6 + $A$59 + 7 &amp; ":$H$" &amp; 6 + $A$6 + 6 + $A$27 + 8 + $A$44 + 6 + $A$59 + 7 + $A$76), MATCH(T65,INDIRECT("$A$" &amp; 6 + $A$6 + 6 + $A$27 + 8 + $A$44 + 6 + $A$59 + 7 &amp; ":$A$" &amp; 6 + $A$6 + 6 + $A$27 + 8 + $A$44 + 6 + $A$59 + 7 + $A$76), 0), 2)&gt;=70), "+", "-")</x:f>
      </x:c>
      <x:c r="V65" s="288" t="s">
        <x:v>67</x:v>
      </x:c>
      <x:c r="W65" s="308">
        <x:f>IF((INDEX(INDIRECT("$A$" &amp; 6 + $A$6 + 6 + $A$27 + 8 + $A$44 + 6 + $A$59 + 7 &amp; ":$H$" &amp; 6 + $A$6 + 6 + $A$27 + 8 + $A$44 + 6 + $A$59 + 7 + $A$76), MATCH(V65,INDIRECT("$A$" &amp; 6 + $A$6 + 6 + $A$27 + 8 + $A$44 + 6 + $A$59 + 7 &amp; ":$A$" &amp; 6 + $A$6 + 6 + $A$27 + 8 + $A$44 + 6 + $A$59 + 7 + $A$76), 0), 2)&gt;=70), "+", "-")</x:f>
      </x:c>
      <x:c r="X65" s="289" t="s">
        <x:v>70</x:v>
      </x:c>
      <x:c r="Y65" s="308">
        <x:f>IF((INDEX(INDIRECT("$A$" &amp; 6 + $A$6 + 6 + $A$27 + 8 + $A$44 + 6 + $A$59 + 7 &amp; ":$H$" &amp; 6 + $A$6 + 6 + $A$27 + 8 + $A$44 + 6 + $A$59 + 7 + $A$76), MATCH(X65,INDIRECT("$A$" &amp; 6 + $A$6 + 6 + $A$27 + 8 + $A$44 + 6 + $A$59 + 7 &amp; ":$A$" &amp; 6 + $A$6 + 6 + $A$27 + 8 + $A$44 + 6 + $A$59 + 7 + $A$76), 0), 2)&gt;=70), "+", "-")</x:f>
      </x:c>
      <x:c r="Z65" s="259" t="s">
        <x:v>108</x:v>
      </x:c>
      <x:c r="AA65" s="308">
        <x:f>IF((INDEX(INDIRECT("$A$" &amp; 6 + $A$6 + 6 + $A$27 + 8 + $A$44 + 6 + $A$59 + 7 &amp; ":$H$" &amp; 6 + $A$6 + 6 + $A$27 + 8 + $A$44 + 6 + $A$59 + 7 + $A$76), MATCH(Z65,INDIRECT("$A$" &amp; 6 + $A$6 + 6 + $A$27 + 8 + $A$44 + 6 + $A$59 + 7 &amp; ":$A$" &amp; 6 + $A$6 + 6 + $A$27 + 8 + $A$44 + 6 + $A$59 + 7 + $A$76), 0), 2)&gt;=70), "+", "-")</x:f>
      </x:c>
      <x:c r="AB65" s="257" t="s">
        <x:v>225</x:v>
      </x:c>
      <x:c r="AC65" s="308">
        <x:f>IF((INDEX(INDIRECT("$A$" &amp; 6 + $A$6 + 6 + $A$27 + 8 + $A$44 + 6 + $A$59 + 7 &amp; ":$H$" &amp; 6 + $A$6 + 6 + $A$27 + 8 + $A$44 + 6 + $A$59 + 7 + $A$76), MATCH(AB65,INDIRECT("$A$" &amp; 6 + $A$6 + 6 + $A$27 + 8 + $A$44 + 6 + $A$59 + 7 &amp; ":$A$" &amp; 6 + $A$6 + 6 + $A$27 + 8 + $A$44 + 6 + $A$59 + 7 + $A$76), 0), 2)&gt;=70), "+", "-")</x:f>
      </x:c>
      <x:c r="AH65" s="197"/>
      <x:c r="AI65" s="197"/>
      <x:c r="AJ65" s="197"/>
      <x:c r="AK65" s="197"/>
    </x:row>
    <x:row r="66" spans="1:37" ht="15.75" customHeight="1" x14ac:dyDescent="0.3">
      <x:c r="A66" s="257" t="s">
        <x:v>38</x:v>
      </x:c>
      <x:c r="B66" s="16">
        <x:v>70</x:v>
      </x:c>
      <x:c r="C66" s="15"/>
      <x:c r="D66" s="15">
        <x:v>1</x:v>
      </x:c>
      <x:c r="E66" s="15">
        <x:v>1</x:v>
      </x:c>
      <x:c r="F66" s="15">
        <x:v>1</x:v>
      </x:c>
      <x:c r="G66" s="314" t="s">
        <x:v>74</x:v>
      </x:c>
      <x:c r="H66" s="293">
        <x:f>IF(AND(B66 &gt;=70, C66 &gt;=80, D66 &gt;=6, E66 &gt;=6, F66 &gt;=6, G66="+"), "+", "-")</x:f>
      </x:c>
      <x:c r="I66" s="302"/>
      <x:c r="J66" s="299"/>
      <x:c r="K66" s="299"/>
      <x:c r="L66" s="299"/>
      <x:c r="M66" s="300"/>
      <x:c r="N66" s="300"/>
      <x:c r="O66" s="300"/>
      <x:c r="P66" s="299"/>
      <x:c r="Q66" s="301"/>
      <x:c r="R66" s="217"/>
      <x:c r="T66" s="287" t="s">
        <x:v>13</x:v>
      </x:c>
      <x:c r="U66" s="308">
        <x:f>IF((INDEX(INDIRECT("$A$" &amp; 6 + $A$6 + 6 + $A$27 + 8 + $A$44 + 6 + $A$59 + 7 &amp; ":$H$" &amp; 6 + $A$6 + 6 + $A$27 + 8 + $A$44 + 6 + $A$59 + 7 + $A$76), MATCH(T66,INDIRECT("$A$" &amp; 6 + $A$6 + 6 + $A$27 + 8 + $A$44 + 6 + $A$59 + 7 &amp; ":$A$" &amp; 6 + $A$6 + 6 + $A$27 + 8 + $A$44 + 6 + $A$59 + 7 + $A$76), 0), 2)&gt;=70), "+", "-")</x:f>
      </x:c>
      <x:c r="V66" s="288" t="s">
        <x:v>104</x:v>
      </x:c>
      <x:c r="W66" s="308">
        <x:f>IF((INDEX(INDIRECT("$A$" &amp; 6 + $A$6 + 6 + $A$27 + 8 + $A$44 + 6 + $A$59 + 7 &amp; ":$H$" &amp; 6 + $A$6 + 6 + $A$27 + 8 + $A$44 + 6 + $A$59 + 7 + $A$76), MATCH(V66,INDIRECT("$A$" &amp; 6 + $A$6 + 6 + $A$27 + 8 + $A$44 + 6 + $A$59 + 7 &amp; ":$A$" &amp; 6 + $A$6 + 6 + $A$27 + 8 + $A$44 + 6 + $A$59 + 7 + $A$76), 0), 2)&gt;=70), "+", "-")</x:f>
      </x:c>
      <x:c r="Z66" s="259" t="s">
        <x:v>24</x:v>
      </x:c>
      <x:c r="AA66" s="308">
        <x:f>IF((INDEX(INDIRECT("$A$" &amp; 6 + $A$6 + 6 + $A$27 + 8 + $A$44 + 6 + $A$59 + 7 &amp; ":$H$" &amp; 6 + $A$6 + 6 + $A$27 + 8 + $A$44 + 6 + $A$59 + 7 + $A$76), MATCH(Z66,INDIRECT("$A$" &amp; 6 + $A$6 + 6 + $A$27 + 8 + $A$44 + 6 + $A$59 + 7 &amp; ":$A$" &amp; 6 + $A$6 + 6 + $A$27 + 8 + $A$44 + 6 + $A$59 + 7 + $A$76), 0), 2)&gt;=70), "+", "-")</x:f>
      </x:c>
      <x:c r="AB66" s="257" t="s">
        <x:v>14</x:v>
      </x:c>
      <x:c r="AC66" s="308">
        <x:f>IF((INDEX(INDIRECT("$A$" &amp; 6 + $A$6 + 6 + $A$27 + 8 + $A$44 + 6 + $A$59 + 7 &amp; ":$H$" &amp; 6 + $A$6 + 6 + $A$27 + 8 + $A$44 + 6 + $A$59 + 7 + $A$76), MATCH(AB66,INDIRECT("$A$" &amp; 6 + $A$6 + 6 + $A$27 + 8 + $A$44 + 6 + $A$59 + 7 &amp; ":$A$" &amp; 6 + $A$6 + 6 + $A$27 + 8 + $A$44 + 6 + $A$59 + 7 + $A$76), 0), 2)&gt;=70), "+", "-")</x:f>
      </x:c>
      <x:c r="AH66" s="197"/>
      <x:c r="AI66" s="197"/>
      <x:c r="AJ66" s="197"/>
      <x:c r="AK66" s="197"/>
    </x:row>
    <x:row r="67" spans="1:37" ht="15.75" customHeight="1" x14ac:dyDescent="0.3">
      <x:c r="A67" s="257" t="s">
        <x:v>44</x:v>
      </x:c>
      <x:c r="B67" s="16">
        <x:v>40</x:v>
      </x:c>
      <x:c r="C67" s="15"/>
      <x:c r="D67" s="15">
        <x:v>1</x:v>
      </x:c>
      <x:c r="E67" s="15">
        <x:v>1</x:v>
      </x:c>
      <x:c r="F67" s="15">
        <x:v>1</x:v>
      </x:c>
      <x:c r="G67" s="314" t="s">
        <x:v>74</x:v>
      </x:c>
      <x:c r="H67" s="293">
        <x:f>IF(AND(B67 &gt;=70, C67 &gt;=80, D67 &gt;=6, E67 &gt;=6, F67 &gt;=6, G67="+"), "+", "-")</x:f>
      </x:c>
      <x:c r="I67" s="302"/>
      <x:c r="J67" s="299"/>
      <x:c r="K67" s="299"/>
      <x:c r="L67" s="299"/>
      <x:c r="M67" s="300"/>
      <x:c r="N67" s="300"/>
      <x:c r="O67" s="300"/>
      <x:c r="P67" s="299"/>
      <x:c r="Q67" s="301"/>
      <x:c r="R67" s="217"/>
      <x:c r="T67" s="320" t="s">
        <x:v>224</x:v>
      </x:c>
      <x:c r="U67" s="308">
        <x:f>IF((INDEX(INDIRECT("$A$" &amp; 6 + $A$6 + 6 + $A$27 + 8 + $A$44 + 6 + $A$59 + 7 &amp; ":$H$" &amp; 6 + $A$6 + 6 + $A$27 + 8 + $A$44 + 6 + $A$59 + 7 + $A$76), MATCH(T67,INDIRECT("$A$" &amp; 6 + $A$6 + 6 + $A$27 + 8 + $A$44 + 6 + $A$59 + 7 &amp; ":$A$" &amp; 6 + $A$6 + 6 + $A$27 + 8 + $A$44 + 6 + $A$59 + 7 + $A$76), 0), 2)&gt;=70), "+", "-")</x:f>
      </x:c>
      <x:c r="V67" s="288" t="s">
        <x:v>73</x:v>
      </x:c>
      <x:c r="W67" s="308">
        <x:f>IF((INDEX(INDIRECT("$A$" &amp; 6 + $A$6 + 6 + $A$27 + 8 + $A$44 + 6 + $A$59 + 7 &amp; ":$H$" &amp; 6 + $A$6 + 6 + $A$27 + 8 + $A$44 + 6 + $A$59 + 7 + $A$76), MATCH(V67,INDIRECT("$A$" &amp; 6 + $A$6 + 6 + $A$27 + 8 + $A$44 + 6 + $A$59 + 7 &amp; ":$A$" &amp; 6 + $A$6 + 6 + $A$27 + 8 + $A$44 + 6 + $A$59 + 7 + $A$76), 0), 2)&gt;=70), "+", "-")</x:f>
      </x:c>
      <x:c r="Z67" s="259" t="s">
        <x:v>94</x:v>
      </x:c>
      <x:c r="AA67" s="308">
        <x:f>IF((INDEX(INDIRECT("$A$" &amp; 6 + $A$6 + 6 + $A$27 + 8 + $A$44 + 6 + $A$59 + 7 &amp; ":$H$" &amp; 6 + $A$6 + 6 + $A$27 + 8 + $A$44 + 6 + $A$59 + 7 + $A$76), MATCH(Z67,INDIRECT("$A$" &amp; 6 + $A$6 + 6 + $A$27 + 8 + $A$44 + 6 + $A$59 + 7 &amp; ":$A$" &amp; 6 + $A$6 + 6 + $A$27 + 8 + $A$44 + 6 + $A$59 + 7 + $A$76), 0), 2)&gt;=70), "+", "-")</x:f>
      </x:c>
      <x:c r="AH67" s="197"/>
      <x:c r="AI67" s="197"/>
      <x:c r="AJ67" s="197"/>
      <x:c r="AK67" s="197"/>
    </x:row>
    <x:row r="68" spans="1:37" ht="15.75" customHeight="1" x14ac:dyDescent="0.3">
      <x:c r="A68" s="257" t="s">
        <x:v>46</x:v>
      </x:c>
      <x:c r="B68" s="16">
        <x:v>20</x:v>
      </x:c>
      <x:c r="C68" s="15"/>
      <x:c r="D68" s="15">
        <x:v>1</x:v>
      </x:c>
      <x:c r="E68" s="15">
        <x:v>1</x:v>
      </x:c>
      <x:c r="F68" s="15">
        <x:v>1</x:v>
      </x:c>
      <x:c r="G68" s="314" t="s">
        <x:v>74</x:v>
      </x:c>
      <x:c r="H68" s="293">
        <x:f>IF(AND(B68 &gt;=70, C68 &gt;=80, D68 &gt;=6, E68 &gt;=6, F68 &gt;=6, G68="+"), "+", "-")</x:f>
      </x:c>
      <x:c r="I68" s="302"/>
      <x:c r="J68" s="299"/>
      <x:c r="K68" s="299"/>
      <x:c r="L68" s="299"/>
      <x:c r="M68" s="300"/>
      <x:c r="N68" s="300"/>
      <x:c r="O68" s="300"/>
      <x:c r="P68" s="299"/>
      <x:c r="Q68" s="301"/>
      <x:c r="R68" s="217"/>
      <x:c r="T68" s="287" t="s">
        <x:v>61</x:v>
      </x:c>
      <x:c r="U68" s="308">
        <x:f>IF((INDEX(INDIRECT("$A$" &amp; 6 + $A$6 + 6 + $A$27 + 8 + $A$44 + 6 + $A$59 + 7 &amp; ":$H$" &amp; 6 + $A$6 + 6 + $A$27 + 8 + $A$44 + 6 + $A$59 + 7 + $A$76), MATCH(T68,INDIRECT("$A$" &amp; 6 + $A$6 + 6 + $A$27 + 8 + $A$44 + 6 + $A$59 + 7 &amp; ":$A$" &amp; 6 + $A$6 + 6 + $A$27 + 8 + $A$44 + 6 + $A$59 + 7 + $A$76), 0), 2)&gt;=70), "+", "-")</x:f>
      </x:c>
    </x:row>
    <x:row r="69" spans="1:37" ht="15.75" customHeight="1" x14ac:dyDescent="0.3">
      <x:c r="A69" s="257" t="s">
        <x:v>68</x:v>
      </x:c>
      <x:c r="B69" s="16">
        <x:v>20</x:v>
      </x:c>
      <x:c r="C69" s="15"/>
      <x:c r="D69" s="15">
        <x:v>1</x:v>
      </x:c>
      <x:c r="E69" s="15">
        <x:v>1</x:v>
      </x:c>
      <x:c r="F69" s="15">
        <x:v>1</x:v>
      </x:c>
      <x:c r="G69" s="314" t="s">
        <x:v>74</x:v>
      </x:c>
      <x:c r="H69" s="293">
        <x:f>IF(AND(B69 &gt;=70, C69 &gt;=80, D69 &gt;=6, E69 &gt;=6, F69 &gt;=6, G69="+"), "+", "-")</x:f>
      </x:c>
      <x:c r="I69" s="302"/>
      <x:c r="J69" s="299"/>
      <x:c r="K69" s="299"/>
      <x:c r="L69" s="299"/>
      <x:c r="M69" s="300"/>
      <x:c r="N69" s="300"/>
      <x:c r="O69" s="300"/>
      <x:c r="P69" s="299"/>
      <x:c r="Q69" s="301"/>
      <x:c r="R69" s="217"/>
      <x:c r="T69" s="287" t="s">
        <x:v>64</x:v>
      </x:c>
      <x:c r="U69" s="308">
        <x:f>IF((INDEX(INDIRECT("$A$" &amp; 6 + $A$6 + 6 + $A$27 + 8 + $A$44 + 6 + $A$59 + 7 &amp; ":$H$" &amp; 6 + $A$6 + 6 + $A$27 + 8 + $A$44 + 6 + $A$59 + 7 + $A$76), MATCH(T69,INDIRECT("$A$" &amp; 6 + $A$6 + 6 + $A$27 + 8 + $A$44 + 6 + $A$59 + 7 &amp; ":$A$" &amp; 6 + $A$6 + 6 + $A$27 + 8 + $A$44 + 6 + $A$59 + 7 + $A$76), 0), 2)&gt;=70), "+", "-")</x:f>
      </x:c>
    </x:row>
    <x:row r="70" spans="1:37" ht="15.75" customHeight="1" x14ac:dyDescent="0.3">
      <x:c r="A70" s="257" t="s">
        <x:v>47</x:v>
      </x:c>
      <x:c r="B70" s="16">
        <x:v>20</x:v>
      </x:c>
      <x:c r="C70" s="15"/>
      <x:c r="D70" s="15">
        <x:v>1</x:v>
      </x:c>
      <x:c r="E70" s="15">
        <x:v>1</x:v>
      </x:c>
      <x:c r="F70" s="15">
        <x:v>1</x:v>
      </x:c>
      <x:c r="G70" s="314" t="s">
        <x:v>74</x:v>
      </x:c>
      <x:c r="H70" s="293">
        <x:f>IF(AND(B70 &gt;=70, C70 &gt;=80, D70 &gt;=6, E70 &gt;=6, F70 &gt;=6, G70="+"), "+", "-")</x:f>
      </x:c>
      <x:c r="I70" s="302"/>
      <x:c r="J70" s="299"/>
      <x:c r="K70" s="299"/>
      <x:c r="L70" s="299"/>
      <x:c r="M70" s="300"/>
      <x:c r="N70" s="300"/>
      <x:c r="O70" s="300"/>
      <x:c r="P70" s="299"/>
      <x:c r="Q70" s="301"/>
      <x:c r="R70" s="218"/>
      <x:c r="T70" s="287" t="s">
        <x:v>126</x:v>
      </x:c>
      <x:c r="U70" s="308">
        <x:f>IF((INDEX(INDIRECT("$A$" &amp; 6 + $A$6 + 6 + $A$27 + 8 + $A$44 + 6 + $A$59 + 7 &amp; ":$H$" &amp; 6 + $A$6 + 6 + $A$27 + 8 + $A$44 + 6 + $A$59 + 7 + $A$76), MATCH(T70,INDIRECT("$A$" &amp; 6 + $A$6 + 6 + $A$27 + 8 + $A$44 + 6 + $A$59 + 7 &amp; ":$A$" &amp; 6 + $A$6 + 6 + $A$27 + 8 + $A$44 + 6 + $A$59 + 7 + $A$76), 0), 2)&gt;=70), "+", "-")</x:f>
      </x:c>
    </x:row>
    <x:row r="71" spans="1:37" ht="15.75" customHeight="1" x14ac:dyDescent="0.3">
      <x:c r="A71" s="259" t="s">
        <x:v>223</x:v>
      </x:c>
      <x:c r="B71" s="7">
        <x:f>SUM(B60:B70)/COUNT(B60:B70)</x:f>
      </x:c>
      <x:c r="C71" s="7">
        <x:f>SUM(C60:C70)/COUNT(B60:B70)</x:f>
      </x:c>
      <x:c r="D71" s="7">
        <x:f>SUM(D60:D70)/COUNT(D60:D70)</x:f>
      </x:c>
      <x:c r="E71" s="7">
        <x:f>SUM(E60:E70)/COUNT(E60:E70)</x:f>
      </x:c>
      <x:c r="F71" s="7">
        <x:f>SUM(F60:F70)/COUNT(F60:F70)</x:f>
      </x:c>
      <x:c r="G71" s="179">
        <x:f>COUNTIF(H60:H70,"+") &amp; "/" &amp; A59 &amp; " (" &amp; ROUND(COUNTIF(H60:H70,"+")*100/A59, 0) &amp; "%)"</x:f>
      </x:c>
      <x:c r="H71" s="168"/>
      <x:c r="I71" s="171"/>
      <x:c r="J71" s="157"/>
      <x:c r="K71" s="157"/>
      <x:c r="L71" s="157"/>
      <x:c r="M71" s="157"/>
      <x:c r="N71" s="157"/>
      <x:c r="O71" s="157"/>
      <x:c r="P71" s="157"/>
      <x:c r="Q71" s="157"/>
      <x:c r="R71" s="158"/>
      <x:c r="T71" s="197" t="s">
        <x:v>229</x:v>
      </x:c>
      <x:c r="U71" s="197"/>
      <x:c r="V71" s="197"/>
      <x:c r="W71" s="197"/>
      <x:c r="X71" s="197"/>
      <x:c r="Y71" s="197"/>
      <x:c r="Z71" s="197"/>
      <x:c r="AA71" s="197"/>
      <x:c r="AB71" s="197"/>
      <x:c r="AC71" s="197"/>
      <x:c r="AD71" s="197"/>
      <x:c r="AE71" s="197"/>
      <x:c r="AF71" s="197"/>
      <x:c r="AG71" s="197"/>
      <x:c r="AH71" s="197" t="s">
        <x:v>230</x:v>
      </x:c>
      <x:c r="AI71" s="197"/>
      <x:c r="AJ71" s="197"/>
      <x:c r="AK71" s="197"/>
    </x:row>
    <x:row r="72" spans="1:37" ht="15.75" customHeight="1" x14ac:dyDescent="0.3">
      <x:c r="A72" s="259" t="s">
        <x:v>226</x:v>
      </x:c>
      <x:c r="B72" s="7">
        <x:f>MEDIAN(B60:B70)</x:f>
      </x:c>
      <x:c r="C72" s="7">
        <x:f>MEDIAN(C60:C70)</x:f>
      </x:c>
      <x:c r="D72" s="7">
        <x:f>MEDIAN(D60:D70)</x:f>
      </x:c>
      <x:c r="E72" s="7">
        <x:f>MEDIAN(E60:E70)</x:f>
      </x:c>
      <x:c r="F72" s="7">
        <x:f>MEDIAN(F60:F70)</x:f>
      </x:c>
      <x:c r="G72" s="208"/>
      <x:c r="H72" s="209"/>
      <x:c r="I72" s="210"/>
      <x:c r="J72" s="211"/>
      <x:c r="K72" s="211"/>
      <x:c r="L72" s="211"/>
      <x:c r="M72" s="211"/>
      <x:c r="N72" s="211"/>
      <x:c r="O72" s="211"/>
      <x:c r="P72" s="211"/>
      <x:c r="Q72" s="211"/>
      <x:c r="R72" s="212"/>
      <x:c r="T72" s="197"/>
      <x:c r="U72" s="197"/>
      <x:c r="V72" s="197"/>
      <x:c r="W72" s="197"/>
      <x:c r="X72" s="197"/>
      <x:c r="Y72" s="197"/>
      <x:c r="Z72" s="197"/>
      <x:c r="AA72" s="197"/>
      <x:c r="AB72" s="197"/>
      <x:c r="AC72" s="197"/>
      <x:c r="AD72" s="197"/>
      <x:c r="AE72" s="197"/>
      <x:c r="AF72" s="197"/>
      <x:c r="AG72" s="197"/>
      <x:c r="AH72" s="197"/>
      <x:c r="AI72" s="197"/>
      <x:c r="AJ72" s="197"/>
      <x:c r="AK72" s="197"/>
    </x:row>
    <x:row r="73" spans="1:37" ht="15.75" customHeight="1" x14ac:dyDescent="0.25">
      <x:c r="A73" s="202" t="s">
        <x:v>211</x:v>
      </x:c>
      <x:c r="B73" s="203"/>
      <x:c r="C73" s="203"/>
      <x:c r="D73" s="203"/>
      <x:c r="E73" s="203"/>
      <x:c r="F73" s="203"/>
      <x:c r="G73" s="203"/>
      <x:c r="H73" s="203"/>
      <x:c r="I73" s="203"/>
      <x:c r="J73" s="203"/>
      <x:c r="K73" s="203"/>
      <x:c r="L73" s="203"/>
      <x:c r="M73" s="203"/>
      <x:c r="N73" s="203"/>
      <x:c r="O73" s="203"/>
      <x:c r="P73" s="203"/>
      <x:c r="Q73" s="203"/>
      <x:c r="R73" s="204"/>
      <x:c r="T73" s="198" t="s">
        <x:v>165</x:v>
      </x:c>
      <x:c r="U73" s="198"/>
      <x:c r="V73" s="198" t="s">
        <x:v>166</x:v>
      </x:c>
      <x:c r="W73" s="198"/>
      <x:c r="X73" s="198" t="s">
        <x:v>167</x:v>
      </x:c>
      <x:c r="Y73" s="198"/>
      <x:c r="Z73" s="198" t="s">
        <x:v>168</x:v>
      </x:c>
      <x:c r="AA73" s="198"/>
      <x:c r="AB73" s="198" t="s">
        <x:v>169</x:v>
      </x:c>
      <x:c r="AC73" s="198"/>
      <x:c r="AD73" s="198" t="s">
        <x:v>170</x:v>
      </x:c>
      <x:c r="AE73" s="198"/>
      <x:c r="AF73" s="198" t="s">
        <x:v>171</x:v>
      </x:c>
      <x:c r="AG73" s="198"/>
      <x:c r="AH73" s="199">
        <x:f>SUM(T75:AG76) &amp; "/" &amp; A6+A27+A44+A59+A76 &amp; " (" &amp; ROUND((SUM(T75:AG76)*100)/ (A6+A27+A44+A59+A76), 0) &amp; "%)"</x:f>
      </x:c>
      <x:c r="AI73" s="199"/>
      <x:c r="AJ73" s="199"/>
      <x:c r="AK73" s="199"/>
    </x:row>
    <x:row r="74" spans="1:37" ht="15.75" customHeight="1" x14ac:dyDescent="0.3">
      <x:c r="A74" s="205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7"/>
      <x:c r="T74" s="198"/>
      <x:c r="U74" s="198"/>
      <x:c r="V74" s="198"/>
      <x:c r="W74" s="198"/>
      <x:c r="X74" s="198"/>
      <x:c r="Y74" s="198"/>
      <x:c r="Z74" s="198"/>
      <x:c r="AA74" s="198"/>
      <x:c r="AB74" s="198"/>
      <x:c r="AC74" s="198"/>
      <x:c r="AD74" s="198"/>
      <x:c r="AE74" s="198"/>
      <x:c r="AF74" s="198"/>
      <x:c r="AG74" s="198"/>
      <x:c r="AH74" s="199"/>
      <x:c r="AI74" s="199"/>
      <x:c r="AJ74" s="199"/>
      <x:c r="AK74" s="199"/>
    </x:row>
    <x:row r="75" spans="1:37" ht="15.75" customHeight="1" x14ac:dyDescent="0.3">
      <x:c r="A75" s="28" t="s">
        <x:v>0</x:v>
      </x:c>
      <x:c r="B75" s="187" t="s">
        <x:v>173</x:v>
      </x:c>
      <x:c r="C75" s="187" t="s">
        <x:v>174</x:v>
      </x:c>
      <x:c r="D75" s="188" t="s">
        <x:v>175</x:v>
      </x:c>
      <x:c r="E75" s="188"/>
      <x:c r="F75" s="188"/>
      <x:c r="G75" s="192" t="s">
        <x:v>177</x:v>
      </x:c>
      <x:c r="H75" s="213"/>
      <x:c r="I75" s="190" t="s">
        <x:v>178</x:v>
      </x:c>
      <x:c r="J75" s="190" t="s">
        <x:v>179</x:v>
      </x:c>
      <x:c r="K75" s="190" t="s">
        <x:v>180</x:v>
      </x:c>
      <x:c r="L75" s="190" t="s">
        <x:v>181</x:v>
      </x:c>
      <x:c r="M75" s="190" t="s">
        <x:v>182</x:v>
      </x:c>
      <x:c r="N75" s="190" t="s">
        <x:v>183</x:v>
      </x:c>
      <x:c r="O75" s="190" t="s">
        <x:v>184</x:v>
      </x:c>
      <x:c r="P75" s="191" t="s">
        <x:v>185</x:v>
      </x:c>
      <x:c r="Q75" s="196" t="s">
        <x:v>186</x:v>
      </x:c>
      <x:c r="R75" s="187" t="s">
        <x:v>187</x:v>
      </x:c>
      <x:c r="T75" s="199">
        <x:f>COUNTIF(T45:U67,"+")</x:f>
      </x:c>
      <x:c r="U75" s="199"/>
      <x:c r="V75" s="199">
        <x:f>COUNTIF(V45:W67,"+")</x:f>
      </x:c>
      <x:c r="W75" s="199"/>
      <x:c r="X75" s="199">
        <x:f>COUNTIF(X45:Y67,"+")</x:f>
      </x:c>
      <x:c r="Y75" s="199"/>
      <x:c r="Z75" s="199">
        <x:f>COUNTIF(Z45:AA67,"+")</x:f>
      </x:c>
      <x:c r="AA75" s="199"/>
      <x:c r="AB75" s="199">
        <x:f>COUNTIF(AB45:AC66,"+")</x:f>
      </x:c>
      <x:c r="AC75" s="199"/>
      <x:c r="AD75" s="199">
        <x:f>COUNTIF(AD45:AE67,"+")</x:f>
      </x:c>
      <x:c r="AE75" s="199"/>
      <x:c r="AF75" s="199">
        <x:f>COUNTIF(AF45:AG67,"+")</x:f>
      </x:c>
      <x:c r="AG75" s="199"/>
      <x:c r="AH75" s="199"/>
      <x:c r="AI75" s="199"/>
      <x:c r="AJ75" s="199"/>
      <x:c r="AK75" s="199"/>
    </x:row>
    <x:row r="76" spans="1:37" ht="15.75" customHeight="1" x14ac:dyDescent="0.3">
      <x:c r="A76" s="23">
        <x:f>MATCH("Среднее",A77:A1081,0)-1</x:f>
      </x:c>
      <x:c r="B76" s="2"/>
      <x:c r="C76" s="2"/>
      <x:c r="D76" s="2">
        <x:v>1</x:v>
      </x:c>
      <x:c r="E76" s="2">
        <x:v>2</x:v>
      </x:c>
      <x:c r="F76" s="2">
        <x:v>3</x:v>
      </x:c>
      <x:c r="G76" s="113"/>
      <x:c r="H76" s="215"/>
      <x:c r="I76" s="189"/>
      <x:c r="J76" s="189"/>
      <x:c r="K76" s="189"/>
      <x:c r="L76" s="189"/>
      <x:c r="M76" s="189"/>
      <x:c r="N76" s="189"/>
      <x:c r="O76" s="189"/>
      <x:c r="P76" s="187"/>
      <x:c r="Q76" s="187"/>
      <x:c r="R76" s="2"/>
      <x:c r="T76" s="199"/>
      <x:c r="U76" s="199"/>
      <x:c r="V76" s="199"/>
      <x:c r="W76" s="199"/>
      <x:c r="X76" s="199"/>
      <x:c r="Y76" s="199"/>
      <x:c r="Z76" s="199"/>
      <x:c r="AA76" s="199"/>
      <x:c r="AB76" s="199"/>
      <x:c r="AC76" s="199"/>
      <x:c r="AD76" s="199"/>
      <x:c r="AE76" s="199"/>
      <x:c r="AF76" s="199"/>
      <x:c r="AG76" s="199"/>
      <x:c r="AH76" s="199"/>
      <x:c r="AI76" s="199"/>
      <x:c r="AJ76" s="199"/>
      <x:c r="AK76" s="199"/>
    </x:row>
    <x:row r="77" spans="1:37" ht="15.75" customHeight="1" x14ac:dyDescent="0.3">
      <x:c r="A77" s="257" t="s">
        <x:v>16</x:v>
      </x:c>
      <x:c r="B77" s="16">
        <x:v>90</x:v>
      </x:c>
      <x:c r="C77" s="15">
        <x:v>90</x:v>
      </x:c>
      <x:c r="D77" s="15">
        <x:v>6</x:v>
      </x:c>
      <x:c r="E77" s="15">
        <x:v>8</x:v>
      </x:c>
      <x:c r="F77" s="15">
        <x:v>7</x:v>
      </x:c>
      <x:c r="G77" s="321">
        <x:f>IF(AND(B77 &gt;=70, C77 &gt;=40), "+", "-")</x:f>
      </x:c>
      <x:c r="H77" s="322"/>
      <x:c r="I77" s="302">
        <x:v>17807</x:v>
      </x:c>
      <x:c r="J77" s="299">
        <x:v>1085</x:v>
      </x:c>
      <x:c r="K77" s="299">
        <x:v>2954</x:v>
      </x:c>
      <x:c r="L77" s="299">
        <x:v>119</x:v>
      </x:c>
      <x:c r="M77" s="300">
        <x:v>2.146</x:v>
      </x:c>
      <x:c r="N77" s="300">
        <x:v>0.555</x:v>
      </x:c>
      <x:c r="O77" s="300">
        <x:v>1.324</x:v>
      </x:c>
      <x:c r="P77" s="299" t="s">
        <x:v>256</x:v>
      </x:c>
      <x:c r="Q77" s="301" t="s">
        <x:v>257</x:v>
      </x:c>
      <x:c r="R77" s="219" t="s">
        <x:v>258</x:v>
      </x:c>
      <x:c r="T77" s="11">
        <x:v>1</x:v>
      </x:c>
      <x:c r="U77" s="11"/>
      <x:c r="V77" s="11">
        <x:v>0</x:v>
      </x:c>
      <x:c r="W77" s="11"/>
      <x:c r="X77" s="11">
        <x:v>0</x:v>
      </x:c>
      <x:c r="Y77" s="11"/>
      <x:c r="Z77" s="11">
        <x:v>1</x:v>
      </x:c>
      <x:c r="AA77" s="11"/>
      <x:c r="AB77" s="11"/>
      <x:c r="AC77" s="11"/>
      <x:c r="AD77" s="11">
        <x:v>1</x:v>
      </x:c>
      <x:c r="AE77" s="11"/>
      <x:c r="AF77" s="11">
        <x:v>0</x:v>
      </x:c>
      <x:c r="AG77" s="11"/>
    </x:row>
    <x:row r="78" spans="1:37" ht="15.75" customHeight="1" x14ac:dyDescent="0.3">
      <x:c r="A78" s="271" t="s">
        <x:v>100</x:v>
      </x:c>
      <x:c r="B78" s="16">
        <x:v>90</x:v>
      </x:c>
      <x:c r="C78" s="15">
        <x:v>90</x:v>
      </x:c>
      <x:c r="D78" s="15">
        <x:v>6</x:v>
      </x:c>
      <x:c r="E78" s="15">
        <x:v>6</x:v>
      </x:c>
      <x:c r="F78" s="15">
        <x:v>6</x:v>
      </x:c>
      <x:c r="G78" s="321">
        <x:f>IF(AND(B78 &gt;=70, C78 &gt;=40), "+", "-")</x:f>
      </x:c>
      <x:c r="H78" s="322"/>
      <x:c r="I78" s="303">
        <x:v>18015</x:v>
      </x:c>
      <x:c r="J78" s="304">
        <x:v>2403</x:v>
      </x:c>
      <x:c r="K78" s="304">
        <x:v>1045</x:v>
      </x:c>
      <x:c r="L78" s="304">
        <x:v>98</x:v>
      </x:c>
      <x:c r="M78" s="305">
        <x:v>1.402</x:v>
      </x:c>
      <x:c r="N78" s="305">
        <x:v>0.33</x:v>
      </x:c>
      <x:c r="O78" s="305">
        <x:v>0.694</x:v>
      </x:c>
      <x:c r="P78" s="315" t="s">
        <x:v>195</x:v>
      </x:c>
      <x:c r="Q78" s="323" t="s">
        <x:v>259</x:v>
      </x:c>
      <x:c r="R78" s="219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</x:row>
    <x:row r="79" spans="1:37" ht="15.75" customHeight="1" x14ac:dyDescent="0.3">
      <x:c r="A79" s="257" t="s">
        <x:v>24</x:v>
      </x:c>
      <x:c r="B79" s="16">
        <x:v>90</x:v>
      </x:c>
      <x:c r="C79" s="15">
        <x:v>80</x:v>
      </x:c>
      <x:c r="D79" s="15">
        <x:v>10</x:v>
      </x:c>
      <x:c r="E79" s="15">
        <x:v>10</x:v>
      </x:c>
      <x:c r="F79" s="15">
        <x:v>8</x:v>
      </x:c>
      <x:c r="G79" s="321">
        <x:f>IF(AND(B79 &gt;=70, C79 &gt;=40), "+", "-")</x:f>
      </x:c>
      <x:c r="H79" s="322"/>
      <x:c r="I79" s="308">
        <x:v>14700</x:v>
      </x:c>
      <x:c r="J79" s="308">
        <x:v>1734</x:v>
      </x:c>
      <x:c r="K79" s="308">
        <x:v>780</x:v>
      </x:c>
      <x:c r="L79" s="308">
        <x:v>35</x:v>
      </x:c>
      <x:c r="M79" s="324">
        <x:v>1.22</x:v>
      </x:c>
      <x:c r="N79" s="324">
        <x:v>0.361</x:v>
      </x:c>
      <x:c r="O79" s="324">
        <x:v>1.145</x:v>
      </x:c>
      <x:c r="P79" s="299" t="s">
        <x:v>239</x:v>
      </x:c>
      <x:c r="Q79" s="308" t="s">
        <x:v>260</x:v>
      </x:c>
      <x:c r="R79" s="219" t="s">
        <x:v>190</x:v>
      </x:c>
      <x:c r="T79" s="197" t="s">
        <x:v>238</x:v>
      </x:c>
      <x:c r="U79" s="197"/>
      <x:c r="V79" s="197"/>
      <x:c r="W79" s="197"/>
      <x:c r="X79" s="197"/>
      <x:c r="Y79" s="197"/>
      <x:c r="Z79" s="197"/>
      <x:c r="AA79" s="197"/>
      <x:c r="AB79" s="197"/>
      <x:c r="AC79" s="197"/>
      <x:c r="AD79" s="197"/>
      <x:c r="AE79" s="197"/>
      <x:c r="AF79" s="197"/>
      <x:c r="AG79" s="197"/>
    </x:row>
    <x:row r="80" spans="1:37" ht="15.75" customHeight="1" x14ac:dyDescent="0.3">
      <x:c r="A80" s="257" t="s">
        <x:v>225</x:v>
      </x:c>
      <x:c r="B80" s="16">
        <x:v>90</x:v>
      </x:c>
      <x:c r="C80" s="15">
        <x:v>40</x:v>
      </x:c>
      <x:c r="D80" s="15">
        <x:v>6</x:v>
      </x:c>
      <x:c r="E80" s="15">
        <x:v>6</x:v>
      </x:c>
      <x:c r="F80" s="15">
        <x:v>7</x:v>
      </x:c>
      <x:c r="G80" s="321">
        <x:f>IF(AND(B80 &gt;=70, C80 &gt;=40), "+", "-")</x:f>
      </x:c>
      <x:c r="H80" s="322"/>
      <x:c r="I80" s="302">
        <x:v>14350</x:v>
      </x:c>
      <x:c r="J80" s="299">
        <x:v>437</x:v>
      </x:c>
      <x:c r="K80" s="299">
        <x:v>573</x:v>
      </x:c>
      <x:c r="L80" s="299">
        <x:v>311</x:v>
      </x:c>
      <x:c r="M80" s="300">
        <x:v>1</x:v>
      </x:c>
      <x:c r="N80" s="300">
        <x:v>0.116</x:v>
      </x:c>
      <x:c r="O80" s="300">
        <x:v>0.655</x:v>
      </x:c>
      <x:c r="P80" s="299" t="s">
        <x:v>261</x:v>
      </x:c>
      <x:c r="Q80" s="301" t="s">
        <x:v>244</x:v>
      </x:c>
      <x:c r="R80" s="219"/>
      <x:c r="T80" s="197"/>
      <x:c r="U80" s="197"/>
      <x:c r="V80" s="197"/>
      <x:c r="W80" s="197"/>
      <x:c r="X80" s="197"/>
      <x:c r="Y80" s="197"/>
      <x:c r="Z80" s="197"/>
      <x:c r="AA80" s="197"/>
      <x:c r="AB80" s="197"/>
      <x:c r="AC80" s="197"/>
      <x:c r="AD80" s="197"/>
      <x:c r="AE80" s="197"/>
      <x:c r="AF80" s="197"/>
      <x:c r="AG80" s="197"/>
    </x:row>
    <x:row r="81" spans="1:37" ht="15.75" customHeight="1" x14ac:dyDescent="0.3">
      <x:c r="A81" s="257" t="s">
        <x:v>59</x:v>
      </x:c>
      <x:c r="B81" s="16">
        <x:v>90</x:v>
      </x:c>
      <x:c r="C81" s="15">
        <x:v>40</x:v>
      </x:c>
      <x:c r="D81" s="15">
        <x:v>4</x:v>
      </x:c>
      <x:c r="E81" s="15">
        <x:v>4</x:v>
      </x:c>
      <x:c r="F81" s="15">
        <x:v>3</x:v>
      </x:c>
      <x:c r="G81" s="321">
        <x:f>IF(AND(B81 &gt;=70, C81 &gt;=40), "+", "-")</x:f>
      </x:c>
      <x:c r="H81" s="322"/>
      <x:c r="I81" s="302"/>
      <x:c r="J81" s="299"/>
      <x:c r="K81" s="299"/>
      <x:c r="L81" s="299"/>
      <x:c r="M81" s="300"/>
      <x:c r="N81" s="300"/>
      <x:c r="O81" s="300"/>
      <x:c r="P81" s="299"/>
      <x:c r="Q81" s="301"/>
      <x:c r="R81" s="219">
        <x:v>70</x:v>
      </x:c>
      <x:c r="T81" s="197">
        <x:f>SUMPRODUCT(T75:AG76,T77:AG78)</x:f>
      </x:c>
      <x:c r="U81" s="197"/>
      <x:c r="V81" s="197"/>
      <x:c r="W81" s="197"/>
      <x:c r="X81" s="197"/>
      <x:c r="Y81" s="197"/>
      <x:c r="Z81" s="197"/>
      <x:c r="AA81" s="197"/>
      <x:c r="AB81" s="197"/>
      <x:c r="AC81" s="197"/>
      <x:c r="AD81" s="197"/>
      <x:c r="AE81" s="197"/>
      <x:c r="AF81" s="197"/>
      <x:c r="AG81" s="197"/>
    </x:row>
    <x:row r="82" spans="1:37" ht="15" customHeight="1" x14ac:dyDescent="0.3">
      <x:c r="A82" s="257" t="s">
        <x:v>35</x:v>
      </x:c>
      <x:c r="B82" s="16">
        <x:v>90</x:v>
      </x:c>
      <x:c r="C82" s="15">
        <x:v>40</x:v>
      </x:c>
      <x:c r="D82" s="15">
        <x:v>2</x:v>
      </x:c>
      <x:c r="E82" s="15">
        <x:v>4</x:v>
      </x:c>
      <x:c r="F82" s="15">
        <x:v>5</x:v>
      </x:c>
      <x:c r="G82" s="321">
        <x:f>IF(AND(B82 &gt;=70, C82 &gt;=40), "+", "-")</x:f>
      </x:c>
      <x:c r="H82" s="322"/>
      <x:c r="I82" s="302"/>
      <x:c r="J82" s="299"/>
      <x:c r="K82" s="299"/>
      <x:c r="L82" s="299"/>
      <x:c r="M82" s="300"/>
      <x:c r="N82" s="300"/>
      <x:c r="O82" s="300"/>
      <x:c r="P82" s="299"/>
      <x:c r="Q82" s="301"/>
      <x:c r="R82" s="219"/>
      <x:c r="T82" s="197"/>
      <x:c r="U82" s="197"/>
      <x:c r="V82" s="197"/>
      <x:c r="W82" s="197"/>
      <x:c r="X82" s="197"/>
      <x:c r="Y82" s="197"/>
      <x:c r="Z82" s="197"/>
      <x:c r="AA82" s="197"/>
      <x:c r="AB82" s="197"/>
      <x:c r="AC82" s="197"/>
      <x:c r="AD82" s="197"/>
      <x:c r="AE82" s="197"/>
      <x:c r="AF82" s="197"/>
      <x:c r="AG82" s="197"/>
    </x:row>
    <x:row r="83" spans="1:37" ht="15.75" customHeight="1" x14ac:dyDescent="0.3">
      <x:c r="A83" s="271" t="s">
        <x:v>94</x:v>
      </x:c>
      <x:c r="B83" s="16">
        <x:v>90</x:v>
      </x:c>
      <x:c r="C83" s="15"/>
      <x:c r="D83" s="15">
        <x:v>6</x:v>
      </x:c>
      <x:c r="E83" s="15">
        <x:v>8</x:v>
      </x:c>
      <x:c r="F83" s="15">
        <x:v>7</x:v>
      </x:c>
      <x:c r="G83" s="321">
        <x:f>IF(AND(B83 &gt;=70, C83 &gt;=40), "+", "-")</x:f>
      </x:c>
      <x:c r="H83" s="322"/>
      <x:c r="I83" s="302">
        <x:v>21176</x:v>
      </x:c>
      <x:c r="J83" s="299">
        <x:v>969</x:v>
      </x:c>
      <x:c r="K83" s="299">
        <x:v>1117</x:v>
      </x:c>
      <x:c r="L83" s="299">
        <x:v>19</x:v>
      </x:c>
      <x:c r="M83" s="300">
        <x:v>1.207</x:v>
      </x:c>
      <x:c r="N83" s="300">
        <x:v>0.495</x:v>
      </x:c>
      <x:c r="O83" s="300">
        <x:v>1.549</x:v>
      </x:c>
      <x:c r="P83" s="299" t="s">
        <x:v>262</x:v>
      </x:c>
      <x:c r="Q83" s="301" t="s">
        <x:v>74</x:v>
      </x:c>
      <x:c r="R83" s="219"/>
      <x:c r="T83" s="197"/>
      <x:c r="U83" s="197"/>
      <x:c r="V83" s="197"/>
      <x:c r="W83" s="197"/>
      <x:c r="X83" s="197"/>
      <x:c r="Y83" s="197"/>
      <x:c r="Z83" s="197"/>
      <x:c r="AA83" s="197"/>
      <x:c r="AB83" s="197"/>
      <x:c r="AC83" s="197"/>
      <x:c r="AD83" s="197"/>
      <x:c r="AE83" s="197"/>
      <x:c r="AF83" s="197"/>
      <x:c r="AG83" s="197"/>
    </x:row>
    <x:row r="84" spans="1:37" ht="15.75" customHeight="1" x14ac:dyDescent="0.3">
      <x:c r="A84" s="257" t="s">
        <x:v>216</x:v>
      </x:c>
      <x:c r="B84" s="16">
        <x:v>80</x:v>
      </x:c>
      <x:c r="C84" s="15">
        <x:v>90</x:v>
      </x:c>
      <x:c r="D84" s="15">
        <x:v>6</x:v>
      </x:c>
      <x:c r="E84" s="15">
        <x:v>6</x:v>
      </x:c>
      <x:c r="F84" s="15">
        <x:v>6</x:v>
      </x:c>
      <x:c r="G84" s="321">
        <x:f>IF(AND(B84 &gt;=70, C84 &gt;=40), "+", "-")</x:f>
      </x:c>
      <x:c r="H84" s="322"/>
      <x:c r="I84" s="298" t="s">
        <x:v>74</x:v>
      </x:c>
      <x:c r="J84" s="299">
        <x:v>1787</x:v>
      </x:c>
      <x:c r="K84" s="299" t="s">
        <x:v>74</x:v>
      </x:c>
      <x:c r="L84" s="299">
        <x:v>89</x:v>
      </x:c>
      <x:c r="M84" s="300">
        <x:v>1.485</x:v>
      </x:c>
      <x:c r="N84" s="300">
        <x:v>0.497</x:v>
      </x:c>
      <x:c r="O84" s="300">
        <x:v>0.85</x:v>
      </x:c>
      <x:c r="P84" s="299" t="s">
        <x:v>263</x:v>
      </x:c>
      <x:c r="Q84" s="301" t="s">
        <x:v>264</x:v>
      </x:c>
      <x:c r="R84" s="219"/>
      <x:c r="T84" s="197"/>
      <x:c r="U84" s="197"/>
      <x:c r="V84" s="197"/>
      <x:c r="W84" s="197"/>
      <x:c r="X84" s="197"/>
      <x:c r="Y84" s="197"/>
      <x:c r="Z84" s="197"/>
      <x:c r="AA84" s="197"/>
      <x:c r="AB84" s="197"/>
      <x:c r="AC84" s="197"/>
      <x:c r="AD84" s="197"/>
      <x:c r="AE84" s="197"/>
      <x:c r="AF84" s="197"/>
      <x:c r="AG84" s="197"/>
    </x:row>
    <x:row r="85" spans="1:37" ht="15.75" customHeight="1" x14ac:dyDescent="0.3">
      <x:c r="A85" s="271" t="s">
        <x:v>108</x:v>
      </x:c>
      <x:c r="B85" s="16">
        <x:v>80</x:v>
      </x:c>
      <x:c r="C85" s="15">
        <x:v>80</x:v>
      </x:c>
      <x:c r="D85" s="15">
        <x:v>6</x:v>
      </x:c>
      <x:c r="E85" s="15">
        <x:v>6</x:v>
      </x:c>
      <x:c r="F85" s="15">
        <x:v>6</x:v>
      </x:c>
      <x:c r="G85" s="321">
        <x:f>IF(AND(B85 &gt;=70, C85 &gt;=40), "+", "-")</x:f>
      </x:c>
      <x:c r="H85" s="322"/>
      <x:c r="I85" s="302">
        <x:v>18770</x:v>
      </x:c>
      <x:c r="J85" s="299">
        <x:v>973</x:v>
      </x:c>
      <x:c r="K85" s="299" t="s">
        <x:v>74</x:v>
      </x:c>
      <x:c r="L85" s="299">
        <x:v>0</x:v>
      </x:c>
      <x:c r="M85" s="300">
        <x:v>1</x:v>
      </x:c>
      <x:c r="N85" s="300">
        <x:v>0.05</x:v>
      </x:c>
      <x:c r="O85" s="300">
        <x:v>0.5</x:v>
      </x:c>
      <x:c r="P85" s="299" t="s">
        <x:v>265</x:v>
      </x:c>
      <x:c r="Q85" s="301" t="s">
        <x:v>266</x:v>
      </x:c>
      <x:c r="R85" s="219"/>
    </x:row>
    <x:row r="86" spans="1:37" ht="15.75" customHeight="1" x14ac:dyDescent="0.3">
      <x:c r="A86" s="257" t="s">
        <x:v>3</x:v>
      </x:c>
      <x:c r="B86" s="16">
        <x:v>80</x:v>
      </x:c>
      <x:c r="C86" s="15">
        <x:v>80</x:v>
      </x:c>
      <x:c r="D86" s="15">
        <x:v>6</x:v>
      </x:c>
      <x:c r="E86" s="15">
        <x:v>6</x:v>
      </x:c>
      <x:c r="F86" s="15">
        <x:v>6</x:v>
      </x:c>
      <x:c r="G86" s="321">
        <x:f>IF(AND(B86 &gt;=70, C86 &gt;=40), "+", "-")</x:f>
      </x:c>
      <x:c r="H86" s="322"/>
      <x:c r="I86" s="298">
        <x:v>28781</x:v>
      </x:c>
      <x:c r="J86" s="299" t="s">
        <x:v>74</x:v>
      </x:c>
      <x:c r="K86" s="299" t="s">
        <x:v>74</x:v>
      </x:c>
      <x:c r="L86" s="299" t="s">
        <x:v>74</x:v>
      </x:c>
      <x:c r="M86" s="300">
        <x:v>1.319</x:v>
      </x:c>
      <x:c r="N86" s="300" t="s">
        <x:v>74</x:v>
      </x:c>
      <x:c r="O86" s="300" t="s">
        <x:v>74</x:v>
      </x:c>
      <x:c r="P86" s="300" t="s">
        <x:v>267</x:v>
      </x:c>
      <x:c r="Q86" s="301" t="s">
        <x:v>196</x:v>
      </x:c>
      <x:c r="R86" s="219" t="s">
        <x:v>268</x:v>
      </x:c>
    </x:row>
    <x:row r="87" spans="1:37" ht="15.75" customHeight="1" x14ac:dyDescent="0.3">
      <x:c r="A87" s="257" t="s">
        <x:v>13</x:v>
      </x:c>
      <x:c r="B87" s="16">
        <x:v>80</x:v>
      </x:c>
      <x:c r="C87" s="15"/>
      <x:c r="D87" s="15">
        <x:v>2</x:v>
      </x:c>
      <x:c r="E87" s="15">
        <x:v>2</x:v>
      </x:c>
      <x:c r="F87" s="15">
        <x:v>3</x:v>
      </x:c>
      <x:c r="G87" s="321">
        <x:f>IF(AND(B87 &gt;=70, C87 &gt;=40), "+", "-")</x:f>
      </x:c>
      <x:c r="H87" s="322"/>
      <x:c r="I87" s="302"/>
      <x:c r="J87" s="299"/>
      <x:c r="K87" s="299"/>
      <x:c r="L87" s="299"/>
      <x:c r="M87" s="300"/>
      <x:c r="N87" s="300"/>
      <x:c r="O87" s="300"/>
      <x:c r="P87" s="299"/>
      <x:c r="Q87" s="301"/>
      <x:c r="R87" s="219"/>
    </x:row>
    <x:row r="88" spans="1:37" ht="15.75" customHeight="1" x14ac:dyDescent="0.3">
      <x:c r="A88" s="271" t="s">
        <x:v>96</x:v>
      </x:c>
      <x:c r="B88" s="16">
        <x:v>70</x:v>
      </x:c>
      <x:c r="C88" s="15">
        <x:v>90</x:v>
      </x:c>
      <x:c r="D88" s="15">
        <x:v>2</x:v>
      </x:c>
      <x:c r="E88" s="15">
        <x:v>2</x:v>
      </x:c>
      <x:c r="F88" s="15">
        <x:v>2</x:v>
      </x:c>
      <x:c r="G88" s="321">
        <x:f>IF(AND(B88 &gt;=70, C88 &gt;=40), "+", "-")</x:f>
      </x:c>
      <x:c r="H88" s="322"/>
      <x:c r="I88" s="302"/>
      <x:c r="J88" s="299"/>
      <x:c r="K88" s="299"/>
      <x:c r="L88" s="299"/>
      <x:c r="M88" s="300"/>
      <x:c r="N88" s="300"/>
      <x:c r="O88" s="300"/>
      <x:c r="P88" s="299"/>
      <x:c r="Q88" s="301"/>
      <x:c r="R88" s="219"/>
    </x:row>
    <x:row r="89" spans="1:37" ht="15.75" customHeight="1" x14ac:dyDescent="0.3">
      <x:c r="A89" s="257" t="s">
        <x:v>217</x:v>
      </x:c>
      <x:c r="B89" s="16">
        <x:v>70</x:v>
      </x:c>
      <x:c r="C89" s="15">
        <x:v>80</x:v>
      </x:c>
      <x:c r="D89" s="15">
        <x:v>6</x:v>
      </x:c>
      <x:c r="E89" s="15">
        <x:v>6</x:v>
      </x:c>
      <x:c r="F89" s="15">
        <x:v>6</x:v>
      </x:c>
      <x:c r="G89" s="321">
        <x:f>IF(AND(B89 &gt;=70, C89 &gt;=40), "+", "-")</x:f>
      </x:c>
      <x:c r="H89" s="322"/>
      <x:c r="I89" s="309">
        <x:v>12429</x:v>
      </x:c>
      <x:c r="J89" s="304">
        <x:v>1587</x:v>
      </x:c>
      <x:c r="K89" s="304">
        <x:v>607</x:v>
      </x:c>
      <x:c r="L89" s="304">
        <x:v>0</x:v>
      </x:c>
      <x:c r="M89" s="305">
        <x:v>1.376</x:v>
      </x:c>
      <x:c r="N89" s="305">
        <x:v>0.108</x:v>
      </x:c>
      <x:c r="O89" s="305">
        <x:v>1.044</x:v>
      </x:c>
      <x:c r="P89" s="325" t="s">
        <x:v>269</x:v>
      </x:c>
      <x:c r="Q89" s="306" t="s">
        <x:v>270</x:v>
      </x:c>
      <x:c r="R89" s="219"/>
    </x:row>
    <x:row r="90" spans="1:37" ht="15.75" customHeight="1" x14ac:dyDescent="0.3">
      <x:c r="A90" s="257" t="s">
        <x:v>53</x:v>
      </x:c>
      <x:c r="B90" s="16">
        <x:v>70</x:v>
      </x:c>
      <x:c r="C90" s="15">
        <x:v>80</x:v>
      </x:c>
      <x:c r="D90" s="15">
        <x:v>6</x:v>
      </x:c>
      <x:c r="E90" s="15">
        <x:v>4</x:v>
      </x:c>
      <x:c r="F90" s="15">
        <x:v>4</x:v>
      </x:c>
      <x:c r="G90" s="321">
        <x:f>IF(AND(B90 &gt;=70, C90 &gt;=40), "+", "-")</x:f>
      </x:c>
      <x:c r="H90" s="322"/>
      <x:c r="I90" s="302"/>
      <x:c r="J90" s="299"/>
      <x:c r="K90" s="299"/>
      <x:c r="L90" s="299"/>
      <x:c r="M90" s="300"/>
      <x:c r="N90" s="300"/>
      <x:c r="O90" s="300"/>
      <x:c r="P90" s="299"/>
      <x:c r="Q90" s="301"/>
      <x:c r="R90" s="219"/>
    </x:row>
    <x:row r="91" spans="1:37" ht="15.75" customHeight="1" x14ac:dyDescent="0.3">
      <x:c r="A91" s="257" t="s">
        <x:v>20</x:v>
      </x:c>
      <x:c r="B91" s="16">
        <x:v>70</x:v>
      </x:c>
      <x:c r="C91" s="15">
        <x:v>80</x:v>
      </x:c>
      <x:c r="D91" s="15">
        <x:v>6</x:v>
      </x:c>
      <x:c r="E91" s="15">
        <x:v>6</x:v>
      </x:c>
      <x:c r="F91" s="15">
        <x:v>6</x:v>
      </x:c>
      <x:c r="G91" s="321">
        <x:f>IF(AND(B91 &gt;=70, C91 &gt;=40), "+", "-")</x:f>
      </x:c>
      <x:c r="H91" s="322"/>
      <x:c r="I91" s="302">
        <x:v>10081</x:v>
      </x:c>
      <x:c r="J91" s="299">
        <x:v>832</x:v>
      </x:c>
      <x:c r="K91" s="299" t="s">
        <x:v>74</x:v>
      </x:c>
      <x:c r="L91" s="299" t="s">
        <x:v>74</x:v>
      </x:c>
      <x:c r="M91" s="300">
        <x:v>1.279</x:v>
      </x:c>
      <x:c r="N91" s="300">
        <x:v>0.05</x:v>
      </x:c>
      <x:c r="O91" s="300">
        <x:v>0.5</x:v>
      </x:c>
      <x:c r="P91" s="299" t="s">
        <x:v>265</x:v>
      </x:c>
      <x:c r="Q91" s="301" t="s">
        <x:v>271</x:v>
      </x:c>
      <x:c r="R91" s="219"/>
    </x:row>
    <x:row r="92" spans="1:37" ht="15.75" customHeight="1" x14ac:dyDescent="0.3">
      <x:c r="A92" s="257" t="s">
        <x:v>31</x:v>
      </x:c>
      <x:c r="B92" s="16">
        <x:v>70</x:v>
      </x:c>
      <x:c r="C92" s="15">
        <x:v>70</x:v>
      </x:c>
      <x:c r="D92" s="15">
        <x:v>4</x:v>
      </x:c>
      <x:c r="E92" s="15">
        <x:v>4</x:v>
      </x:c>
      <x:c r="F92" s="15">
        <x:v>6</x:v>
      </x:c>
      <x:c r="G92" s="321">
        <x:f>IF(AND(B92 &gt;=70, C92 &gt;=40), "+", "-")</x:f>
      </x:c>
      <x:c r="H92" s="322"/>
      <x:c r="I92" s="302"/>
      <x:c r="J92" s="299"/>
      <x:c r="K92" s="299"/>
      <x:c r="L92" s="299"/>
      <x:c r="M92" s="300"/>
      <x:c r="N92" s="300"/>
      <x:c r="O92" s="300"/>
      <x:c r="P92" s="299"/>
      <x:c r="Q92" s="301"/>
      <x:c r="R92" s="219"/>
    </x:row>
    <x:row r="93" spans="1:37" ht="15.75" customHeight="1" x14ac:dyDescent="0.3">
      <x:c r="A93" s="257" t="s">
        <x:v>52</x:v>
      </x:c>
      <x:c r="B93" s="16">
        <x:v>70</x:v>
      </x:c>
      <x:c r="C93" s="15">
        <x:v>70</x:v>
      </x:c>
      <x:c r="D93" s="15">
        <x:v>4</x:v>
      </x:c>
      <x:c r="E93" s="15">
        <x:v>4</x:v>
      </x:c>
      <x:c r="F93" s="15">
        <x:v>4</x:v>
      </x:c>
      <x:c r="G93" s="321">
        <x:f>IF(AND(B93 &gt;=70, C93 &gt;=40), "+", "-")</x:f>
      </x:c>
      <x:c r="H93" s="322"/>
      <x:c r="I93" s="302"/>
      <x:c r="J93" s="299"/>
      <x:c r="K93" s="299"/>
      <x:c r="L93" s="299"/>
      <x:c r="M93" s="300"/>
      <x:c r="N93" s="300"/>
      <x:c r="O93" s="300"/>
      <x:c r="P93" s="299"/>
      <x:c r="Q93" s="301" t="s">
        <x:v>272</x:v>
      </x:c>
      <x:c r="R93" s="219"/>
    </x:row>
    <x:row r="94" spans="1:37" ht="15.75" customHeight="1" x14ac:dyDescent="0.3">
      <x:c r="A94" s="257" t="s">
        <x:v>33</x:v>
      </x:c>
      <x:c r="B94" s="16">
        <x:v>70</x:v>
      </x:c>
      <x:c r="C94" s="15">
        <x:v>70</x:v>
      </x:c>
      <x:c r="D94" s="15">
        <x:v>2</x:v>
      </x:c>
      <x:c r="E94" s="15">
        <x:v>3</x:v>
      </x:c>
      <x:c r="F94" s="15">
        <x:v>5</x:v>
      </x:c>
      <x:c r="G94" s="321">
        <x:f>IF(AND(B94 &gt;=70, C94 &gt;=40), "+", "-")</x:f>
      </x:c>
      <x:c r="H94" s="322"/>
      <x:c r="I94" s="302"/>
      <x:c r="J94" s="299"/>
      <x:c r="K94" s="299"/>
      <x:c r="L94" s="299"/>
      <x:c r="M94" s="300"/>
      <x:c r="N94" s="300"/>
      <x:c r="O94" s="300"/>
      <x:c r="P94" s="299"/>
      <x:c r="Q94" s="301"/>
      <x:c r="R94" s="219"/>
    </x:row>
    <x:row r="95" spans="1:37" ht="15.75" customHeight="1" x14ac:dyDescent="0.3">
      <x:c r="A95" s="257" t="s">
        <x:v>66</x:v>
      </x:c>
      <x:c r="B95" s="16">
        <x:v>70</x:v>
      </x:c>
      <x:c r="C95" s="15">
        <x:v>60</x:v>
      </x:c>
      <x:c r="D95" s="15">
        <x:v>4</x:v>
      </x:c>
      <x:c r="E95" s="15">
        <x:v>3</x:v>
      </x:c>
      <x:c r="F95" s="15">
        <x:v>3</x:v>
      </x:c>
      <x:c r="G95" s="321">
        <x:f>IF(AND(B95 &gt;=70, C95 &gt;=40), "+", "-")</x:f>
      </x:c>
      <x:c r="H95" s="322"/>
      <x:c r="I95" s="302"/>
      <x:c r="J95" s="299"/>
      <x:c r="K95" s="299"/>
      <x:c r="L95" s="299"/>
      <x:c r="M95" s="300"/>
      <x:c r="N95" s="300"/>
      <x:c r="O95" s="300"/>
      <x:c r="P95" s="299"/>
      <x:c r="Q95" s="301"/>
      <x:c r="R95" s="219"/>
    </x:row>
    <x:row r="96" spans="1:37" ht="15.75" customHeight="1" x14ac:dyDescent="0.3">
      <x:c r="A96" s="257" t="s">
        <x:v>220</x:v>
      </x:c>
      <x:c r="B96" s="16">
        <x:v>70</x:v>
      </x:c>
      <x:c r="C96" s="15">
        <x:v>40</x:v>
      </x:c>
      <x:c r="D96" s="15">
        <x:v>2</x:v>
      </x:c>
      <x:c r="E96" s="15">
        <x:v>3</x:v>
      </x:c>
      <x:c r="F96" s="15">
        <x:v>3</x:v>
      </x:c>
      <x:c r="G96" s="321">
        <x:f>IF(AND(B96 &gt;=70, C96 &gt;=40), "+", "-")</x:f>
      </x:c>
      <x:c r="H96" s="322"/>
      <x:c r="I96" s="302"/>
      <x:c r="J96" s="299"/>
      <x:c r="K96" s="299"/>
      <x:c r="L96" s="299"/>
      <x:c r="M96" s="300"/>
      <x:c r="N96" s="300"/>
      <x:c r="O96" s="300"/>
      <x:c r="P96" s="299"/>
      <x:c r="Q96" s="301"/>
      <x:c r="R96" s="219" t="s">
        <x:v>273</x:v>
      </x:c>
    </x:row>
    <x:row r="97" spans="1:37" ht="15.75" customHeight="1" x14ac:dyDescent="0.3">
      <x:c r="A97" s="271" t="s">
        <x:v>126</x:v>
      </x:c>
      <x:c r="B97" s="16">
        <x:v>50</x:v>
      </x:c>
      <x:c r="C97" s="15">
        <x:v>60</x:v>
      </x:c>
      <x:c r="D97" s="15">
        <x:v>1</x:v>
      </x:c>
      <x:c r="E97" s="15">
        <x:v>1</x:v>
      </x:c>
      <x:c r="F97" s="15">
        <x:v>1</x:v>
      </x:c>
      <x:c r="G97" s="321">
        <x:f>IF(AND(B97 &gt;=70, C97 &gt;=40), "+", "-")</x:f>
      </x:c>
      <x:c r="H97" s="322"/>
      <x:c r="I97" s="302"/>
      <x:c r="J97" s="299"/>
      <x:c r="K97" s="299"/>
      <x:c r="L97" s="299"/>
      <x:c r="M97" s="300"/>
      <x:c r="N97" s="300"/>
      <x:c r="O97" s="300"/>
      <x:c r="P97" s="299"/>
      <x:c r="Q97" s="301"/>
      <x:c r="R97" s="219"/>
    </x:row>
    <x:row r="98" spans="1:37" ht="15.75" customHeight="1" x14ac:dyDescent="0.3">
      <x:c r="A98" s="257" t="s">
        <x:v>42</x:v>
      </x:c>
      <x:c r="B98" s="16">
        <x:v>50</x:v>
      </x:c>
      <x:c r="C98" s="15">
        <x:v>40</x:v>
      </x:c>
      <x:c r="D98" s="15">
        <x:v>2</x:v>
      </x:c>
      <x:c r="E98" s="15">
        <x:v>2</x:v>
      </x:c>
      <x:c r="F98" s="15">
        <x:v>2</x:v>
      </x:c>
      <x:c r="G98" s="321">
        <x:f>IF(AND(B98 &gt;=70, C98 &gt;=40), "+", "-")</x:f>
      </x:c>
      <x:c r="H98" s="322"/>
      <x:c r="I98" s="302"/>
      <x:c r="J98" s="299"/>
      <x:c r="K98" s="299"/>
      <x:c r="L98" s="299"/>
      <x:c r="M98" s="300"/>
      <x:c r="N98" s="300"/>
      <x:c r="O98" s="300"/>
      <x:c r="P98" s="299"/>
      <x:c r="Q98" s="301"/>
      <x:c r="R98" s="219"/>
    </x:row>
    <x:row r="99" spans="1:37" ht="15.75" customHeight="1" x14ac:dyDescent="0.3">
      <x:c r="A99" s="257" t="s">
        <x:v>224</x:v>
      </x:c>
      <x:c r="B99" s="16">
        <x:v>40</x:v>
      </x:c>
      <x:c r="C99" s="15">
        <x:v>70</x:v>
      </x:c>
      <x:c r="D99" s="15">
        <x:v>1</x:v>
      </x:c>
      <x:c r="E99" s="15">
        <x:v>1</x:v>
      </x:c>
      <x:c r="F99" s="15">
        <x:v>1</x:v>
      </x:c>
      <x:c r="G99" s="321">
        <x:f>IF(AND(B99 &gt;=70, C99 &gt;=40), "+", "-")</x:f>
      </x:c>
      <x:c r="H99" s="322"/>
      <x:c r="I99" s="302"/>
      <x:c r="J99" s="299"/>
      <x:c r="K99" s="299"/>
      <x:c r="L99" s="299"/>
      <x:c r="M99" s="300"/>
      <x:c r="N99" s="300"/>
      <x:c r="O99" s="300"/>
      <x:c r="P99" s="299"/>
      <x:c r="Q99" s="301"/>
      <x:c r="R99" s="221"/>
    </x:row>
    <x:row r="100" spans="1:37" ht="15.75" customHeight="1" x14ac:dyDescent="0.3">
      <x:c r="A100" s="257" t="s">
        <x:v>67</x:v>
      </x:c>
      <x:c r="B100" s="16">
        <x:v>40</x:v>
      </x:c>
      <x:c r="C100" s="15"/>
      <x:c r="D100" s="15">
        <x:v>1</x:v>
      </x:c>
      <x:c r="E100" s="15">
        <x:v>1</x:v>
      </x:c>
      <x:c r="F100" s="15">
        <x:v>1</x:v>
      </x:c>
      <x:c r="G100" s="321">
        <x:f>IF(AND(B100 &gt;=70, C100 &gt;=40), "+", "-")</x:f>
      </x:c>
      <x:c r="H100" s="322"/>
      <x:c r="I100" s="302"/>
      <x:c r="J100" s="299"/>
      <x:c r="K100" s="299"/>
      <x:c r="L100" s="299"/>
      <x:c r="M100" s="300"/>
      <x:c r="N100" s="300"/>
      <x:c r="O100" s="300"/>
      <x:c r="P100" s="299"/>
      <x:c r="Q100" s="301"/>
    </x:row>
    <x:row r="101" spans="1:37" ht="15.75" customHeight="1" x14ac:dyDescent="0.3">
      <x:c r="A101" s="257" t="s">
        <x:v>57</x:v>
      </x:c>
      <x:c r="B101" s="16">
        <x:v>40</x:v>
      </x:c>
      <x:c r="C101" s="15"/>
      <x:c r="D101" s="15">
        <x:v>1</x:v>
      </x:c>
      <x:c r="E101" s="15">
        <x:v>1</x:v>
      </x:c>
      <x:c r="F101" s="15">
        <x:v>1</x:v>
      </x:c>
      <x:c r="G101" s="321">
        <x:f>IF(AND(B101 &gt;=70, C101 &gt;=40), "+", "-")</x:f>
      </x:c>
      <x:c r="H101" s="322"/>
      <x:c r="I101" s="302"/>
      <x:c r="J101" s="299"/>
      <x:c r="K101" s="299"/>
      <x:c r="L101" s="299"/>
      <x:c r="M101" s="300"/>
      <x:c r="N101" s="300"/>
      <x:c r="O101" s="300"/>
      <x:c r="P101" s="299"/>
      <x:c r="Q101" s="301"/>
    </x:row>
    <x:row r="102" spans="1:37" ht="15.75" customHeight="1" x14ac:dyDescent="0.3">
      <x:c r="A102" s="257" t="s">
        <x:v>64</x:v>
      </x:c>
      <x:c r="B102" s="16">
        <x:v>40</x:v>
      </x:c>
      <x:c r="C102" s="15"/>
      <x:c r="D102" s="15">
        <x:v>1</x:v>
      </x:c>
      <x:c r="E102" s="15">
        <x:v>1</x:v>
      </x:c>
      <x:c r="F102" s="15">
        <x:v>1</x:v>
      </x:c>
      <x:c r="G102" s="321">
        <x:f>IF(AND(B102 &gt;=70, C102 &gt;=40), "+", "-")</x:f>
      </x:c>
      <x:c r="H102" s="322"/>
      <x:c r="I102" s="302"/>
      <x:c r="J102" s="299"/>
      <x:c r="K102" s="299"/>
      <x:c r="L102" s="299"/>
      <x:c r="M102" s="300"/>
      <x:c r="N102" s="300"/>
      <x:c r="O102" s="300"/>
      <x:c r="P102" s="299"/>
      <x:c r="Q102" s="301"/>
    </x:row>
    <x:row r="103" spans="1:37" ht="15.75" customHeight="1" x14ac:dyDescent="0.3">
      <x:c r="A103" s="257" t="s">
        <x:v>61</x:v>
      </x:c>
      <x:c r="B103" s="16">
        <x:v>40</x:v>
      </x:c>
      <x:c r="C103" s="15"/>
      <x:c r="D103" s="15">
        <x:v>1</x:v>
      </x:c>
      <x:c r="E103" s="15">
        <x:v>1</x:v>
      </x:c>
      <x:c r="F103" s="15">
        <x:v>1</x:v>
      </x:c>
      <x:c r="G103" s="321">
        <x:f>IF(AND(B103 &gt;=70, C103 &gt;=40), "+", "-")</x:f>
      </x:c>
      <x:c r="H103" s="322"/>
      <x:c r="I103" s="302"/>
      <x:c r="J103" s="299"/>
      <x:c r="K103" s="299"/>
      <x:c r="L103" s="299"/>
      <x:c r="M103" s="300"/>
      <x:c r="N103" s="300"/>
      <x:c r="O103" s="300"/>
      <x:c r="P103" s="299"/>
      <x:c r="Q103" s="301"/>
    </x:row>
    <x:row r="104" spans="1:37" ht="15.75" customHeight="1" x14ac:dyDescent="0.3">
      <x:c r="A104" s="257" t="s">
        <x:v>14</x:v>
      </x:c>
      <x:c r="B104" s="16">
        <x:v>40</x:v>
      </x:c>
      <x:c r="C104" s="15"/>
      <x:c r="D104" s="15">
        <x:v>1</x:v>
      </x:c>
      <x:c r="E104" s="15">
        <x:v>1</x:v>
      </x:c>
      <x:c r="F104" s="15">
        <x:v>1</x:v>
      </x:c>
      <x:c r="G104" s="321">
        <x:f>IF(AND(B104 &gt;=70, C104 &gt;=40), "+", "-")</x:f>
      </x:c>
      <x:c r="H104" s="322"/>
      <x:c r="I104" s="302"/>
      <x:c r="J104" s="299"/>
      <x:c r="K104" s="299"/>
      <x:c r="L104" s="299"/>
      <x:c r="M104" s="300"/>
      <x:c r="N104" s="300"/>
      <x:c r="O104" s="300"/>
      <x:c r="P104" s="299"/>
      <x:c r="Q104" s="301"/>
    </x:row>
    <x:row r="105" spans="1:37" ht="15.75" customHeight="1" x14ac:dyDescent="0.3">
      <x:c r="A105" s="257" t="s">
        <x:v>62</x:v>
      </x:c>
      <x:c r="B105" s="16">
        <x:v>40</x:v>
      </x:c>
      <x:c r="C105" s="15"/>
      <x:c r="D105" s="15">
        <x:v>1</x:v>
      </x:c>
      <x:c r="E105" s="15">
        <x:v>1</x:v>
      </x:c>
      <x:c r="F105" s="15">
        <x:v>1</x:v>
      </x:c>
      <x:c r="G105" s="321">
        <x:f>IF(AND(B105 &gt;=70, C105 &gt;=40), "+", "-")</x:f>
      </x:c>
      <x:c r="H105" s="322"/>
      <x:c r="I105" s="302"/>
      <x:c r="J105" s="299"/>
      <x:c r="K105" s="299"/>
      <x:c r="L105" s="299"/>
      <x:c r="M105" s="300"/>
      <x:c r="N105" s="300"/>
      <x:c r="O105" s="300"/>
      <x:c r="P105" s="299"/>
      <x:c r="Q105" s="301"/>
    </x:row>
    <x:row r="106" spans="1:37" ht="15.75" customHeight="1" x14ac:dyDescent="0.3">
      <x:c r="A106" s="257" t="s">
        <x:v>37</x:v>
      </x:c>
      <x:c r="B106" s="16">
        <x:v>40</x:v>
      </x:c>
      <x:c r="C106" s="15"/>
      <x:c r="D106" s="15">
        <x:v>1</x:v>
      </x:c>
      <x:c r="E106" s="15">
        <x:v>1</x:v>
      </x:c>
      <x:c r="F106" s="15">
        <x:v>1</x:v>
      </x:c>
      <x:c r="G106" s="321">
        <x:f>IF(AND(B106 &gt;=70, C106 &gt;=40), "+", "-")</x:f>
      </x:c>
      <x:c r="H106" s="322"/>
      <x:c r="I106" s="302"/>
      <x:c r="J106" s="299"/>
      <x:c r="K106" s="299"/>
      <x:c r="L106" s="299"/>
      <x:c r="M106" s="300"/>
      <x:c r="N106" s="300"/>
      <x:c r="O106" s="300"/>
      <x:c r="P106" s="299"/>
      <x:c r="Q106" s="301"/>
    </x:row>
    <x:row r="107" spans="1:37" ht="15.75" customHeight="1" x14ac:dyDescent="0.3">
      <x:c r="A107" s="257" t="s">
        <x:v>70</x:v>
      </x:c>
      <x:c r="B107" s="16">
        <x:v>20</x:v>
      </x:c>
      <x:c r="C107" s="15"/>
      <x:c r="D107" s="15">
        <x:v>1</x:v>
      </x:c>
      <x:c r="E107" s="15">
        <x:v>1</x:v>
      </x:c>
      <x:c r="F107" s="15">
        <x:v>1</x:v>
      </x:c>
      <x:c r="G107" s="321">
        <x:f>IF(AND(B107 &gt;=70, C107 &gt;=40), "+", "-")</x:f>
      </x:c>
      <x:c r="H107" s="322"/>
      <x:c r="I107" s="302"/>
      <x:c r="J107" s="299"/>
      <x:c r="K107" s="299"/>
      <x:c r="L107" s="299"/>
      <x:c r="M107" s="300"/>
      <x:c r="N107" s="300"/>
      <x:c r="O107" s="300"/>
      <x:c r="P107" s="299"/>
      <x:c r="Q107" s="301"/>
    </x:row>
    <x:row r="108" spans="1:37" ht="15.75" customHeight="1" x14ac:dyDescent="0.3">
      <x:c r="A108" s="271" t="s">
        <x:v>104</x:v>
      </x:c>
      <x:c r="B108" s="113">
        <x:v>20</x:v>
      </x:c>
      <x:c r="C108" s="23"/>
      <x:c r="D108" s="23">
        <x:v>1</x:v>
      </x:c>
      <x:c r="E108" s="23">
        <x:v>1</x:v>
      </x:c>
      <x:c r="F108" s="23">
        <x:v>1</x:v>
      </x:c>
      <x:c r="G108" s="321">
        <x:f>IF(AND(B108 &gt;=70, C108 &gt;=40), "+", "-")</x:f>
      </x:c>
      <x:c r="H108" s="322"/>
      <x:c r="I108" s="302"/>
      <x:c r="J108" s="299"/>
      <x:c r="K108" s="299"/>
      <x:c r="L108" s="299"/>
      <x:c r="M108" s="300"/>
      <x:c r="N108" s="300"/>
      <x:c r="O108" s="300"/>
      <x:c r="P108" s="299"/>
      <x:c r="Q108" s="301"/>
    </x:row>
    <x:row r="109" spans="1:37" ht="15.75" customHeight="1" x14ac:dyDescent="0.3">
      <x:c r="A109" s="257" t="s">
        <x:v>73</x:v>
      </x:c>
      <x:c r="B109" s="16">
        <x:v>20</x:v>
      </x:c>
      <x:c r="C109" s="15"/>
      <x:c r="D109" s="15">
        <x:v>1</x:v>
      </x:c>
      <x:c r="E109" s="15">
        <x:v>1</x:v>
      </x:c>
      <x:c r="F109" s="15">
        <x:v>1</x:v>
      </x:c>
      <x:c r="G109" s="321">
        <x:f>IF(AND(B109 &gt;=70, C109 &gt;=40), "+", "-")</x:f>
      </x:c>
      <x:c r="H109" s="322"/>
      <x:c r="I109" s="302">
        <x:v>2682</x:v>
      </x:c>
      <x:c r="J109" s="299">
        <x:v>85</x:v>
      </x:c>
      <x:c r="K109" s="299">
        <x:v>161</x:v>
      </x:c>
      <x:c r="L109" s="299">
        <x:v>0</x:v>
      </x:c>
      <x:c r="M109" s="300"/>
      <x:c r="N109" s="300"/>
      <x:c r="O109" s="300"/>
      <x:c r="P109" s="299"/>
      <x:c r="Q109" s="301"/>
    </x:row>
    <x:row r="110" spans="1:37" ht="15.75" customHeight="1" x14ac:dyDescent="0.3">
      <x:c r="A110" s="257" t="s">
        <x:v>49</x:v>
      </x:c>
      <x:c r="B110" s="16">
        <x:v>20</x:v>
      </x:c>
      <x:c r="C110" s="15"/>
      <x:c r="D110" s="15">
        <x:v>1</x:v>
      </x:c>
      <x:c r="E110" s="15">
        <x:v>1</x:v>
      </x:c>
      <x:c r="F110" s="15">
        <x:v>1</x:v>
      </x:c>
      <x:c r="G110" s="321">
        <x:f>IF(AND(B110 &gt;=70, C110 &gt;=40), "+", "-")</x:f>
      </x:c>
      <x:c r="H110" s="322"/>
      <x:c r="I110" s="302"/>
      <x:c r="J110" s="299"/>
      <x:c r="K110" s="299"/>
      <x:c r="L110" s="299"/>
      <x:c r="M110" s="300"/>
      <x:c r="N110" s="300"/>
      <x:c r="O110" s="300"/>
      <x:c r="P110" s="299"/>
      <x:c r="Q110" s="301"/>
    </x:row>
    <x:row r="111" spans="1:37" ht="15.75" customHeight="1" x14ac:dyDescent="0.3">
      <x:c r="A111" s="259" t="s">
        <x:v>223</x:v>
      </x:c>
      <x:c r="B111" s="27">
        <x:f>SUM(INDIRECT("$B$" &amp; $A$44 + 19 + $A$27 &amp; ":$B$" &amp; $A$44 + 18 + $A$27 + $A$76))/COUNT(INDIRECT("$B$" &amp; $A$44 + 19 + $A$27 &amp; ":$B$" &amp; $A$44 + 18 + $A$27 + $A$76))</x:f>
      </x:c>
      <x:c r="C111" s="27">
        <x:f>SUM(INDIRECT("$C$" &amp; $A$44 + 19 + $A$27 &amp; ":$C$" &amp; $A$44 + 18 + $A$27 + $A$76))/COUNT(INDIRECT("$C$" &amp; $A$44 + 19 + $A$27 &amp; ":$C$" &amp; $A$44 + 18 + $A$27 + $A$76))</x:f>
      </x:c>
      <x:c r="D111" s="27">
        <x:f>SUM(INDIRECT("$D$" &amp; $A$44 + 19 + $A$27 &amp; ":$D$" &amp; $A$44 + 18 + $A$27 + $A$76))/COUNT(INDIRECT("$D$" &amp; $A$44 + 19 + $A$27 &amp; ":$D$" &amp; $A$44 + 18 + $A$27 + $A$76))</x:f>
      </x:c>
      <x:c r="E111" s="27">
        <x:f>SUM(INDIRECT("$E$" &amp; $A$44 + 19 + $A$27 &amp; ":$E$" &amp; $A$44 + 18 + $A$27 + $A$76))/COUNT(INDIRECT("$E$" &amp; $A$44 + 19 + $A$27 &amp; ":$E$" &amp; $A$44 + 18 + $A$27 + $A$76))</x:f>
      </x:c>
      <x:c r="F111" s="27">
        <x:f>SUM(INDIRECT("$F$" &amp; $A$44 + 19 + $A$27 &amp; ":$F$" &amp; $A$44 + 18 + $A$27 + $A$76))/COUNT(INDIRECT("$F$" &amp; $A$44 + 19 + $A$27 &amp; ":$F$" &amp; $A$44 + 18 + $A$27 + $A$76))</x:f>
      </x:c>
      <x:c r="G111" s="179">
        <x:f>COUNTIF(INDIRECT("$G$" &amp; $A$44 + 19 + $A$27 &amp; ":$G$" &amp; $A$44 + 18 + $A$27 + $A$76),"+") &amp; "/" &amp;  $A$76 &amp; " (" &amp; ROUND(COUNTIF(INDIRECT("$G$" &amp; $A$44 + 19 + $A$27 &amp; ":$G$" &amp; $A$44 + 18 + $A$27 + $A$76),"+")*100/ $A$76, 0) &amp; "%)"</x:f>
      </x:c>
      <x:c r="H111" s="168"/>
      <x:c r="I111" s="171"/>
      <x:c r="J111" s="157"/>
      <x:c r="K111" s="157"/>
      <x:c r="L111" s="157"/>
      <x:c r="M111" s="157"/>
      <x:c r="N111" s="157"/>
      <x:c r="O111" s="157"/>
      <x:c r="P111" s="157"/>
      <x:c r="Q111" s="157"/>
      <x:c r="R111" s="158"/>
    </x:row>
    <x:row r="112" spans="1:37" ht="15.75" customHeight="1" x14ac:dyDescent="0.3">
      <x:c r="A112" s="259" t="s">
        <x:v>226</x:v>
      </x:c>
      <x:c r="B112" s="7">
        <x:f>MEDIAN(INDIRECT("$B$" &amp; $A$44 + 19 + $A$27 &amp; ":$B$" &amp; $A$44 + 18 + $A$27 + $A$76))</x:f>
      </x:c>
      <x:c r="C112" s="7">
        <x:f>MEDIAN(INDIRECT("$C$" &amp; $A$44 + 19 + $A$27 &amp; ":$C$" &amp; $A$44 + 18 + $A$27 + $A$76))</x:f>
      </x:c>
      <x:c r="D112" s="7">
        <x:f>MEDIAN(INDIRECT("$D$" &amp; $A$44 + 19 + $A$27 &amp; ":$D$" &amp; $A$44 + 18 + $A$27 + $A$76))</x:f>
      </x:c>
      <x:c r="E112" s="7">
        <x:f>MEDIAN(INDIRECT("$E$" &amp; $A$44 + 19 + $A$27 &amp; ":$E$" &amp; $A$44 + 18 + $A$27 + $A$76))</x:f>
      </x:c>
      <x:c r="F112" s="7">
        <x:f>MEDIAN(INDIRECT("$F$" &amp; $A$44 + 19 + $A$27 &amp; ":$F$" &amp; $A$44 + 18 + $A$27 + $A$76))</x:f>
      </x:c>
      <x:c r="G112" s="180"/>
      <x:c r="H112" s="170"/>
      <x:c r="I112" s="135"/>
      <x:c r="J112" s="1"/>
      <x:c r="K112" s="1"/>
      <x:c r="L112" s="1"/>
      <x:c r="M112" s="1"/>
      <x:c r="N112" s="1"/>
      <x:c r="O112" s="1"/>
      <x:c r="P112" s="1"/>
      <x:c r="Q112" s="1"/>
      <x:c r="R112" s="160"/>
    </x:row>
    <x:row r="113" spans="1:37" ht="15.75" customHeight="1" x14ac:dyDescent="0.3">
      <x:c r="A113" s="259" t="s">
        <x:v>274</x:v>
      </x:c>
      <x:c r="B113" s="7">
        <x:f>COUNT(INDIRECT("$B$" &amp; $A$44 + 19 + $A$27 &amp; ":$B$" &amp; $A$44 + 18 + $A$27 + $A$76))</x:f>
      </x:c>
      <x:c r="C113" s="7">
        <x:f>COUNT(INDIRECT("$C$" &amp; $A$44 + 19 + $A$27 &amp; ":$C$" &amp; $A$44 + 18 + $A$27 + $A$76))</x:f>
      </x:c>
      <x:c r="D113" s="130">
        <x:f>COUNT(INDIRECT("$D$" &amp; $A$44 + 19 + $A$27 &amp; ":$D$" &amp; $A$44 + 18 + $A$27 + $A$76))</x:f>
      </x:c>
      <x:c r="E113" s="130"/>
      <x:c r="F113" s="131"/>
      <x:c r="G113" s="208"/>
      <x:c r="H113" s="209"/>
      <x:c r="I113" s="210"/>
      <x:c r="J113" s="211"/>
      <x:c r="K113" s="211"/>
      <x:c r="L113" s="211"/>
      <x:c r="M113" s="211"/>
      <x:c r="N113" s="211"/>
      <x:c r="O113" s="211"/>
      <x:c r="P113" s="211"/>
      <x:c r="Q113" s="211"/>
      <x:c r="R113" s="212"/>
    </x:row>
    <x:row r="114" ht="15.75" customHeight="1" x14ac:dyDescent="0.25"/>
    <x:row r="115" ht="15.75" customHeight="1" x14ac:dyDescent="0.25"/>
    <x:row r="116" ht="15.75" customHeight="1" x14ac:dyDescent="0.25"/>
    <x:row r="117" ht="15.75" customHeight="1" x14ac:dyDescent="0.25"/>
    <x:row r="118" ht="15.75" customHeight="1" x14ac:dyDescent="0.25"/>
    <x:row r="119" ht="15.75" customHeight="1" x14ac:dyDescent="0.25"/>
    <x:row r="120" ht="15.75" customHeight="1" x14ac:dyDescent="0.25"/>
    <x:row r="121" ht="15.75" customHeight="1" x14ac:dyDescent="0.25"/>
    <x:row r="122" ht="15.75" customHeight="1" x14ac:dyDescent="0.25"/>
    <x:row r="123" ht="15.75" customHeight="1" x14ac:dyDescent="0.25"/>
    <x:row r="124" ht="15.75" customHeight="1" x14ac:dyDescent="0.25"/>
    <x:row r="125" ht="15" customHeight="1" x14ac:dyDescent="0.25"/>
    <x:row r="126" ht="15.75" customHeight="1" x14ac:dyDescent="0.25"/>
    <x:row r="127" ht="15.75" customHeight="1" x14ac:dyDescent="0.25"/>
    <x:row r="128" ht="15.75" customHeight="1" x14ac:dyDescent="0.25"/>
    <x:row r="129" ht="15.75" customHeight="1" x14ac:dyDescent="0.25"/>
    <x:row r="130" ht="15.75" customHeight="1" x14ac:dyDescent="0.25"/>
    <x:row r="131" ht="15.75" customHeight="1" x14ac:dyDescent="0.25"/>
    <x:row r="132" ht="15.75" customHeight="1" x14ac:dyDescent="0.25"/>
    <x:row r="133" ht="15.75" customHeight="1" x14ac:dyDescent="0.25"/>
    <x:row r="134" ht="15.75" customHeight="1" x14ac:dyDescent="0.25"/>
    <x:row r="135" ht="15.75" customHeight="1" x14ac:dyDescent="0.25"/>
    <x:row r="136" ht="15.75" customHeight="1" x14ac:dyDescent="0.25"/>
    <x:row r="137" ht="15.75" customHeight="1" x14ac:dyDescent="0.25"/>
    <x:row r="138" ht="15.75" customHeight="1" x14ac:dyDescent="0.25"/>
    <x:row r="139" ht="15.75" customHeight="1" x14ac:dyDescent="0.25"/>
    <x:row r="140" ht="15.75" customHeight="1" x14ac:dyDescent="0.25"/>
    <x:row r="141" ht="15.75" customHeight="1" x14ac:dyDescent="0.25"/>
    <x:row r="142" ht="15.75" customHeight="1" x14ac:dyDescent="0.25"/>
    <x:row r="143" ht="15.75" customHeight="1" x14ac:dyDescent="0.25"/>
    <x:row r="144" ht="15.75" customHeight="1" x14ac:dyDescent="0.25"/>
    <x:row r="145" ht="15.75" customHeight="1" x14ac:dyDescent="0.25"/>
    <x:row r="146" ht="15.75" customHeight="1" x14ac:dyDescent="0.25"/>
    <x:row r="147" ht="15.75" customHeight="1" x14ac:dyDescent="0.25"/>
    <x:row r="148" ht="15.75" customHeight="1" x14ac:dyDescent="0.25"/>
    <x:row r="149" ht="15.75" customHeight="1" x14ac:dyDescent="0.25"/>
    <x:row r="150" ht="15.75" customHeight="1" x14ac:dyDescent="0.25"/>
    <x:row r="151" ht="15.75" customHeight="1" x14ac:dyDescent="0.25"/>
    <x:row r="152" ht="15.75" customHeight="1" x14ac:dyDescent="0.25"/>
    <x:row r="153" ht="15.75" customHeight="1" x14ac:dyDescent="0.25"/>
    <x:row r="154" ht="15.75" customHeight="1" x14ac:dyDescent="0.25"/>
    <x:row r="155" ht="15.75" customHeight="1" x14ac:dyDescent="0.25"/>
    <x:row r="156" ht="15.75" customHeight="1" x14ac:dyDescent="0.25"/>
    <x:row r="157" ht="15.75" customHeight="1" x14ac:dyDescent="0.25"/>
    <x:row r="158" ht="15.75" customHeight="1" x14ac:dyDescent="0.25"/>
    <x:row r="159" ht="15.75" customHeight="1" x14ac:dyDescent="0.25"/>
    <x:row r="160" ht="15.75" customHeight="1" x14ac:dyDescent="0.25"/>
    <x:row r="161" ht="15.75" customHeight="1" x14ac:dyDescent="0.25"/>
  </x:sheetData>
  <x:sortState xmlns:xlrd2="http://schemas.microsoft.com/office/spreadsheetml/2017/richdata2" ref="A77:Q110">
    <x:sortCondition descending="1" ref="B77:B110"/>
    <x:sortCondition descending="1" ref="C77:C110"/>
    <x:sortCondition descending="1" ref="D77:D110"/>
  </x:sortState>
  <x:mergeCells count="179">
    <x:mergeCell ref="A1:R2"/>
    <x:mergeCell ref="T1:AG1"/>
    <x:mergeCell ref="AH1:AK3"/>
    <x:mergeCell ref="T2:U3"/>
    <x:mergeCell ref="V2:W3"/>
    <x:mergeCell ref="X2:Y3"/>
    <x:mergeCell ref="Z2:AA3"/>
    <x:mergeCell ref="AB2:AC3"/>
    <x:mergeCell ref="AD2:AE3"/>
    <x:mergeCell ref="AF2:AG3"/>
    <x:mergeCell ref="A3:R4"/>
    <x:mergeCell ref="AH4:AK10"/>
    <x:mergeCell ref="B5:B6"/>
    <x:mergeCell ref="C5:C6"/>
    <x:mergeCell ref="D5:F5"/>
    <x:mergeCell ref="G5:G6"/>
    <x:mergeCell ref="H5:H6"/>
    <x:mergeCell ref="I5:I6"/>
    <x:mergeCell ref="J5:J6"/>
    <x:mergeCell ref="K5:K6"/>
    <x:mergeCell ref="L5:L6"/>
    <x:mergeCell ref="M5:M6"/>
    <x:mergeCell ref="N5:N6"/>
    <x:mergeCell ref="O5:O6"/>
    <x:mergeCell ref="P5:P6"/>
    <x:mergeCell ref="Q5:Q6"/>
    <x:mergeCell ref="R5:R6"/>
    <x:mergeCell ref="R7:R19"/>
    <x:mergeCell ref="T11:AG12"/>
    <x:mergeCell ref="AH11:AK12"/>
    <x:mergeCell ref="AH13:AK16"/>
    <x:mergeCell ref="T17:AG18"/>
    <x:mergeCell ref="AH17:AK18"/>
    <x:mergeCell ref="AH19:AK24"/>
    <x:mergeCell ref="G22:H23"/>
    <x:mergeCell ref="I22:R23"/>
    <x:mergeCell ref="A24:R25"/>
    <x:mergeCell ref="B26:B27"/>
    <x:mergeCell ref="C26:C27"/>
    <x:mergeCell ref="D26:F26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T28:AG29"/>
    <x:mergeCell ref="AH28:AK29"/>
    <x:mergeCell ref="T30:U31"/>
    <x:mergeCell ref="V30:W31"/>
    <x:mergeCell ref="X30:Y31"/>
    <x:mergeCell ref="Z30:AA31"/>
    <x:mergeCell ref="AB30:AC31"/>
    <x:mergeCell ref="AD30:AE31"/>
    <x:mergeCell ref="AF30:AG31"/>
    <x:mergeCell ref="AH30:AK33"/>
    <x:mergeCell ref="T32:U33"/>
    <x:mergeCell ref="V32:W33"/>
    <x:mergeCell ref="X32:Y33"/>
    <x:mergeCell ref="Z32:AA33"/>
    <x:mergeCell ref="AB32:AC33"/>
    <x:mergeCell ref="AD32:AE33"/>
    <x:mergeCell ref="AF32:AG33"/>
    <x:mergeCell ref="T34:AG35"/>
    <x:mergeCell ref="T36:AG39"/>
    <x:mergeCell ref="G37:H38"/>
    <x:mergeCell ref="I37:R38"/>
    <x:mergeCell ref="A39:R40"/>
    <x:mergeCell ref="T40:AK43"/>
    <x:mergeCell ref="A41:R42"/>
    <x:mergeCell ref="B43:B44"/>
    <x:mergeCell ref="C43:C44"/>
    <x:mergeCell ref="D43:F43"/>
    <x:mergeCell ref="G43:G44"/>
    <x:mergeCell ref="H43:H44"/>
    <x:mergeCell ref="I43:I44"/>
    <x:mergeCell ref="J43:J44"/>
    <x:mergeCell ref="K43:K44"/>
    <x:mergeCell ref="L43:L44"/>
    <x:mergeCell ref="M43:M44"/>
    <x:mergeCell ref="N43:N44"/>
    <x:mergeCell ref="O43:O44"/>
    <x:mergeCell ref="P43:P44"/>
    <x:mergeCell ref="Q43:Q44"/>
    <x:mergeCell ref="R43:R44"/>
    <x:mergeCell ref="T44:AG44"/>
    <x:mergeCell ref="AH44:AK46"/>
    <x:mergeCell ref="T45:U46"/>
    <x:mergeCell ref="V45:W46"/>
    <x:mergeCell ref="X45:Y46"/>
    <x:mergeCell ref="Z45:AA46"/>
    <x:mergeCell ref="AB45:AC46"/>
    <x:mergeCell ref="AD45:AE46"/>
    <x:mergeCell ref="AF45:AG46"/>
    <x:mergeCell ref="R46:R50"/>
    <x:mergeCell ref="AH47:AK53"/>
    <x:mergeCell ref="R51:R53"/>
    <x:mergeCell ref="G54:H55"/>
    <x:mergeCell ref="I54:R55"/>
    <x:mergeCell ref="T54:AG55"/>
    <x:mergeCell ref="AH54:AK55"/>
    <x:mergeCell ref="A56:R57"/>
    <x:mergeCell ref="AH56:AK59"/>
    <x:mergeCell ref="B58:B59"/>
    <x:mergeCell ref="C58:C59"/>
    <x:mergeCell ref="D58:F58"/>
    <x:mergeCell ref="G58:G59"/>
    <x:mergeCell ref="H58:H59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Q58:Q59"/>
    <x:mergeCell ref="R58:R59"/>
    <x:mergeCell ref="R60:R70"/>
    <x:mergeCell ref="T60:AG61"/>
    <x:mergeCell ref="AH60:AK61"/>
    <x:mergeCell ref="AH62:AK67"/>
    <x:mergeCell ref="G71:H72"/>
    <x:mergeCell ref="I71:R72"/>
    <x:mergeCell ref="T71:AG72"/>
    <x:mergeCell ref="AH71:AK72"/>
    <x:mergeCell ref="A73:R74"/>
    <x:mergeCell ref="T73:U74"/>
    <x:mergeCell ref="V73:W74"/>
    <x:mergeCell ref="X73:Y74"/>
    <x:mergeCell ref="Z73:AA74"/>
    <x:mergeCell ref="AB73:AC74"/>
    <x:mergeCell ref="AD73:AE74"/>
    <x:mergeCell ref="AF73:AG74"/>
    <x:mergeCell ref="AH73:AK76"/>
    <x:mergeCell ref="B75:B76"/>
    <x:mergeCell ref="C75:C76"/>
    <x:mergeCell ref="D75:F75"/>
    <x:mergeCell ref="G75:H76"/>
    <x:mergeCell ref="I75:I76"/>
    <x:mergeCell ref="J75:J76"/>
    <x:mergeCell ref="K75:K76"/>
    <x:mergeCell ref="L75:L76"/>
    <x:mergeCell ref="M75:M76"/>
    <x:mergeCell ref="N75:N76"/>
    <x:mergeCell ref="O75:O76"/>
    <x:mergeCell ref="P75:P76"/>
    <x:mergeCell ref="Q75:Q76"/>
    <x:mergeCell ref="R75:R76"/>
    <x:mergeCell ref="T75:U76"/>
    <x:mergeCell ref="V75:W76"/>
    <x:mergeCell ref="X75:Y76"/>
    <x:mergeCell ref="Z75:AA76"/>
    <x:mergeCell ref="AB75:AC76"/>
    <x:mergeCell ref="AD75:AE76"/>
    <x:mergeCell ref="AF75:AG76"/>
    <x:mergeCell ref="R77:R78"/>
    <x:mergeCell ref="T77:U78"/>
    <x:mergeCell ref="V77:W78"/>
    <x:mergeCell ref="X77:Y78"/>
    <x:mergeCell ref="Z77:AA78"/>
    <x:mergeCell ref="AB77:AC78"/>
    <x:mergeCell ref="AD77:AE78"/>
    <x:mergeCell ref="AF77:AG78"/>
    <x:mergeCell ref="R79:R80"/>
    <x:mergeCell ref="T79:AG80"/>
    <x:mergeCell ref="R81:R85"/>
    <x:mergeCell ref="T81:AG84"/>
    <x:mergeCell ref="R86:R95"/>
    <x:mergeCell ref="R96:R99"/>
    <x:mergeCell ref="G111:H113"/>
    <x:mergeCell ref="I111:R113"/>
    <x:mergeCell ref="D113:F113"/>
  </x:mergeCells>
  <x:conditionalFormatting sqref="C58:C59">
    <x:cfRule type="containsBlanks" dxfId="1" priority="1">
      <x:formula>LEN(TRIM(C58))=0</x:formula>
    </x:cfRule>
  </x:conditionalFormatting>
  <x:conditionalFormatting sqref="B77:B110">
    <x:cfRule type="cellIs" dxfId="2" priority="2" operator="greaterThanOrEqual">
      <x:formula>70</x:formula>
    </x:cfRule>
    <x:cfRule type="cellIs" dxfId="3" priority="3" operator="between">
      <x:formula>40</x:formula>
      <x:formula>69</x:formula>
    </x:cfRule>
    <x:cfRule type="cellIs" dxfId="4" priority="4" operator="between">
      <x:formula>0</x:formula>
      <x:formula>39</x:formula>
    </x:cfRule>
  </x:conditionalFormatting>
  <x:conditionalFormatting sqref="D28:F36">
    <x:cfRule type="cellIs" dxfId="2" priority="5" operator="greaterThanOrEqual">
      <x:formula>10</x:formula>
    </x:cfRule>
    <x:cfRule type="cellIs" dxfId="5" priority="6" operator="greaterThanOrEqual">
      <x:formula>6</x:formula>
    </x:cfRule>
    <x:cfRule type="cellIs" dxfId="3" priority="7" operator="greaterThanOrEqual">
      <x:formula>4</x:formula>
    </x:cfRule>
    <x:cfRule type="cellIs" dxfId="4" priority="8" operator="lessThan">
      <x:formula>6</x:formula>
    </x:cfRule>
  </x:conditionalFormatting>
  <x:conditionalFormatting sqref="B28:C36">
    <x:cfRule type="cellIs" dxfId="2" priority="9" operator="equal">
      <x:formula>90</x:formula>
    </x:cfRule>
    <x:cfRule type="cellIs" dxfId="5" priority="10" operator="greaterThanOrEqual">
      <x:formula>80</x:formula>
    </x:cfRule>
    <x:cfRule type="cellIs" dxfId="3" priority="11" operator="greaterThanOrEqual">
      <x:formula>70</x:formula>
    </x:cfRule>
    <x:cfRule type="cellIs" dxfId="4" priority="12" operator="greaterThanOrEqual">
      <x:formula>0</x:formula>
    </x:cfRule>
  </x:conditionalFormatting>
  <x:conditionalFormatting sqref="B7:C21">
    <x:cfRule type="cellIs" dxfId="2" priority="13" operator="equal">
      <x:formula>90</x:formula>
    </x:cfRule>
    <x:cfRule type="cellIs" dxfId="5" priority="14" operator="greaterThanOrEqual">
      <x:formula>80</x:formula>
    </x:cfRule>
    <x:cfRule type="cellIs" dxfId="3" priority="15" operator="greaterThanOrEqual">
      <x:formula>70</x:formula>
    </x:cfRule>
    <x:cfRule type="cellIs" dxfId="4" priority="16" operator="greaterThanOrEqual">
      <x:formula>0</x:formula>
    </x:cfRule>
  </x:conditionalFormatting>
  <x:conditionalFormatting sqref="T77:AG78">
    <x:cfRule type="containsText" dxfId="6" priority="17" operator="containsText" text="0">
      <x:formula>NOT(ISERROR(SEARCH("0",T77)))</x:formula>
    </x:cfRule>
    <x:cfRule type="containsText" dxfId="7" priority="18" operator="containsText" text="1">
      <x:formula>NOT(ISERROR(SEARCH("1",T77)))</x:formula>
    </x:cfRule>
  </x:conditionalFormatting>
  <x:conditionalFormatting sqref="C77:C99">
    <x:cfRule type="cellIs" dxfId="2" priority="19" operator="greaterThanOrEqual">
      <x:formula>60</x:formula>
    </x:cfRule>
    <x:cfRule type="cellIs" dxfId="5" priority="20" operator="greaterThanOrEqual">
      <x:formula>1</x:formula>
    </x:cfRule>
  </x:conditionalFormatting>
  <x:conditionalFormatting sqref="D45:F53 D60:F70">
    <x:cfRule type="cellIs" dxfId="5" priority="21" operator="greaterThanOrEqual">
      <x:formula>6</x:formula>
    </x:cfRule>
    <x:cfRule type="cellIs" dxfId="3" priority="22" operator="between">
      <x:formula>3</x:formula>
      <x:formula>6</x:formula>
    </x:cfRule>
    <x:cfRule type="cellIs" dxfId="4" priority="23" operator="lessThan">
      <x:formula>3</x:formula>
    </x:cfRule>
    <x:cfRule type="cellIs" dxfId="2" priority="24" operator="equal">
      <x:formula>10</x:formula>
    </x:cfRule>
  </x:conditionalFormatting>
  <x:conditionalFormatting sqref="D7:F21">
    <x:cfRule type="cellIs" dxfId="2" priority="25" operator="greaterThanOrEqual">
      <x:formula>10</x:formula>
    </x:cfRule>
    <x:cfRule type="cellIs" dxfId="5" priority="26" operator="greaterThanOrEqual">
      <x:formula>7</x:formula>
    </x:cfRule>
    <x:cfRule type="cellIs" dxfId="3" priority="27" operator="greaterThanOrEqual">
      <x:formula>6</x:formula>
    </x:cfRule>
    <x:cfRule type="cellIs" dxfId="4" priority="28" operator="lessThan">
      <x:formula>6</x:formula>
    </x:cfRule>
  </x:conditionalFormatting>
  <x:conditionalFormatting sqref="U4:U7 W4:W6 Y4:Y9 AA4:AA7 AC4:AC7 AE4:AE4 AG4:AG5 G7:G21 G28:G37">
    <x:cfRule type="cellIs" dxfId="8" priority="29" operator="between">
      <x:formula>0</x:formula>
      <x:formula>0.15</x:formula>
    </x:cfRule>
    <x:cfRule type="cellIs" dxfId="5" priority="30" operator="between">
      <x:formula>0.15</x:formula>
      <x:formula>0.25</x:formula>
    </x:cfRule>
    <x:cfRule type="cellIs" dxfId="9" priority="31" operator="between">
      <x:formula>0.25</x:formula>
      <x:formula>0.5</x:formula>
    </x:cfRule>
    <x:cfRule type="cellIs" dxfId="4" priority="32" operator="between">
      <x:formula>0.5</x:formula>
      <x:formula>1</x:formula>
    </x:cfRule>
  </x:conditionalFormatting>
  <x:conditionalFormatting sqref="D77:F110">
    <x:cfRule type="cellIs" dxfId="2" priority="33" operator="greaterThanOrEqual">
      <x:formula>6</x:formula>
    </x:cfRule>
    <x:cfRule type="cellIs" dxfId="5" priority="53" operator="greaterThanOrEqual">
      <x:formula>0</x:formula>
    </x:cfRule>
  </x:conditionalFormatting>
  <x:conditionalFormatting sqref="B45:C53 B60:C70 B107:C110">
    <x:cfRule type="cellIs" dxfId="2" priority="34" operator="equal">
      <x:formula>90</x:formula>
    </x:cfRule>
    <x:cfRule type="cellIs" dxfId="5" priority="35" operator="greaterThanOrEqual">
      <x:formula>70</x:formula>
    </x:cfRule>
  </x:conditionalFormatting>
  <x:conditionalFormatting sqref="C70:C70">
    <x:cfRule type="cellIs" dxfId="4" priority="36" operator="between">
      <x:formula>1</x:formula>
      <x:formula>59</x:formula>
    </x:cfRule>
    <x:cfRule type="cellIs" dxfId="3" priority="40" operator="between">
      <x:formula>60</x:formula>
      <x:formula>79</x:formula>
    </x:cfRule>
  </x:conditionalFormatting>
  <x:conditionalFormatting sqref="B70:B70 B98:B99">
    <x:cfRule type="cellIs" dxfId="5" priority="37" operator="between">
      <x:formula>61</x:formula>
      <x:formula>90</x:formula>
    </x:cfRule>
  </x:conditionalFormatting>
  <x:conditionalFormatting sqref="B69:B70 B96:B99">
    <x:cfRule type="cellIs" dxfId="4" priority="38" operator="between">
      <x:formula>0</x:formula>
      <x:formula>39</x:formula>
    </x:cfRule>
  </x:conditionalFormatting>
  <x:conditionalFormatting sqref="C45:C53 C60:C70">
    <x:cfRule type="cellIs" dxfId="5" priority="39" operator="greaterThanOrEqual">
      <x:formula>80</x:formula>
    </x:cfRule>
  </x:conditionalFormatting>
  <x:conditionalFormatting sqref="B69:B69 B96:B97">
    <x:cfRule type="cellIs" dxfId="3" priority="41" operator="between">
      <x:formula>40</x:formula>
      <x:formula>60</x:formula>
    </x:cfRule>
    <x:cfRule type="cellIs" dxfId="5" priority="42" operator="between">
      <x:formula>61</x:formula>
      <x:formula>90</x:formula>
    </x:cfRule>
  </x:conditionalFormatting>
  <x:conditionalFormatting sqref="C48:C48 C69:C70">
    <x:cfRule type="cellIs" dxfId="5" priority="43" operator="between">
      <x:formula>71</x:formula>
      <x:formula>90</x:formula>
    </x:cfRule>
  </x:conditionalFormatting>
  <x:conditionalFormatting sqref="C48:C48 C69:C70 C96:C99">
    <x:cfRule type="cellIs" dxfId="3" priority="44" operator="between">
      <x:formula>60</x:formula>
      <x:formula>70</x:formula>
    </x:cfRule>
  </x:conditionalFormatting>
  <x:conditionalFormatting sqref="C48:C48 C69:C70 C77:C99">
    <x:cfRule type="cellIs" dxfId="4" priority="45" operator="between">
      <x:formula>1</x:formula>
      <x:formula>59</x:formula>
    </x:cfRule>
  </x:conditionalFormatting>
  <x:conditionalFormatting sqref="B48:B48">
    <x:cfRule type="cellIs" dxfId="4" priority="46" operator="between">
      <x:formula>0</x:formula>
      <x:formula>39</x:formula>
    </x:cfRule>
    <x:cfRule type="cellIs" dxfId="3" priority="47" operator="between">
      <x:formula>40</x:formula>
      <x:formula>60</x:formula>
    </x:cfRule>
    <x:cfRule type="cellIs" dxfId="5" priority="48" operator="between">
      <x:formula>61</x:formula>
      <x:formula>90</x:formula>
    </x:cfRule>
  </x:conditionalFormatting>
  <x:conditionalFormatting sqref="B45:C53 B60:C70">
    <x:cfRule type="cellIs" dxfId="3" priority="49" operator="between">
      <x:formula>40</x:formula>
      <x:formula>69</x:formula>
    </x:cfRule>
    <x:cfRule type="cellIs" dxfId="4" priority="50" operator="between">
      <x:formula>0</x:formula>
      <x:formula>39</x:formula>
    </x:cfRule>
  </x:conditionalFormatting>
  <x:conditionalFormatting sqref="C45:C53 C60:C69">
    <x:cfRule type="cellIs" dxfId="3" priority="51" operator="between">
      <x:formula>60</x:formula>
      <x:formula>79</x:formula>
    </x:cfRule>
  </x:conditionalFormatting>
  <x:conditionalFormatting sqref="C45:C53 C60:C69 C107:C110">
    <x:cfRule type="cellIs" dxfId="4" priority="52" operator="between">
      <x:formula>1</x:formula>
      <x:formula>59</x:formula>
    </x:cfRule>
  </x:conditionalFormatting>
  <x:conditionalFormatting sqref="C7:C23 C28:C36 C39:C40 C43:C53 C60:C70 C73:C110">
    <x:cfRule type="containsBlanks" dxfId="1" priority="54">
      <x:formula>LEN(TRIM(C7))=0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0" operator="containsText" id="{90B4911C-F0B2-44D0-B0B3-3D1493A32D49}">
            <xm:f>NOT(ISERROR(SEARCH("-",H7)))</xm:f>
            <xm:f>"-"</xm:f>
            <x14:dxf>
              <x:font>
                <x:color rgb="FF9C0006"/>
              </x:font>
              <x:fill>
                <x:patternFill>
                  <x:bgColor rgb="FFFFC7CE"/>
                </x:patternFill>
              </x:fill>
            </x14:dxf>
          </x14:cfRule>
          <x14:cfRule type="containsText" priority="351" operator="containsText" id="{3FFCF86A-E89F-47C7-828C-657706D15239}">
            <xm:f>NOT(ISERROR(SEARCH("+",H7)))</xm:f>
            <xm:f>"+"</xm:f>
            <x14:dxf>
              <x:font>
                <x:color rgb="FF006100"/>
              </x:font>
              <x:fill>
                <x:patternFill>
                  <x:bgColor rgb="FFC6EFCE"/>
                </x:patternFill>
              </x:fill>
            </x14:dxf>
          </x14:cfRule>
          <xm:sqref>H7:H21 H28:H36 T47:AG47 Z48:AC48 AF48:AG48 T48:Y49 AB49:AG49 Z49:AA50 V50:Y50 AB50:AC50 AD50:AG52 T51:Y53 AC53:AG53 T54:AG55 V56:Z56 T56:U57 AA56:AD58 AE56:AG59 V57:W58 Z57:Z58 V59:Y59 AB59:AD59 T60:AG61 T62:AA62 AD62:AE64 AB62:AC66 AF62:AG66 W63:AA64 V63:V67 T63:U70 X65:AA65 W65:W66 Z66:AA66 W67:AA67 AD67:AG67</xm:sqref>
        </x14:conditionalFormatting>
        <x14:conditionalFormatting xmlns:xm="http://schemas.microsoft.com/office/excel/2006/main">
          <x14:cfRule type="containsText" priority="1" operator="containsText" id="{60D1A21C-BE78-4136-9AA4-F8FBB443D338}">
            <xm:f>NOT(ISERROR(SEARCH("+",T13)))</xm:f>
            <xm:f>"+"</xm:f>
            <x14:dxf>
              <x:font>
                <x:color rgb="FF006100"/>
              </x:font>
              <x:fill>
                <x:patternFill>
                  <x:bgColor rgb="FFC6EFCE"/>
                </x:patternFill>
              </x:fill>
            </x14:dxf>
          </x14:cfRule>
          <x14:cfRule type="containsText" priority="119" operator="containsText" id="{D7287B74-9C04-493F-8E2B-DCA0E4502049}">
            <xm:f>NOT(ISERROR(SEARCH("-",T13)))</xm:f>
            <xm:f>"-"</xm:f>
            <x14:dxf>
              <x:font>
                <x:color rgb="FF9C0006"/>
              </x:font>
              <x:fill>
                <x:patternFill>
                  <x:bgColor rgb="FFFFC7CE"/>
                </x:patternFill>
              </x:fill>
            </x14:dxf>
          </x14:cfRule>
          <xm:sqref>T13:AG27</xm:sqref>
        </x14:conditionalFormatting>
      </x14:conditionalFormattings>
    </x:ext>
  </x:extLst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C408"/>
  <x:sheetViews>
    <x:sheetView topLeftCell="A387" workbookViewId="0">
      <x:selection activeCell="B390" sqref="B390"/>
    </x:sheetView>
  </x:sheetViews>
  <x:sheetFormatPr defaultRowHeight="15" x14ac:dyDescent="0.25"/>
  <x:cols>
    <x:col min="1" max="1" width="12.855469" style="0" customWidth="1"/>
    <x:col min="2" max="2" width="23.570312" style="0" customWidth="1"/>
    <x:col min="3" max="3" width="19" style="0" customWidth="1"/>
  </x:cols>
  <x:sheetData>
    <x:row r="1" spans="1:3" ht="16.5" customHeight="1" x14ac:dyDescent="0.25">
      <x:c r="A1" s="21" t="s">
        <x:v>275</x:v>
      </x:c>
      <x:c r="B1" s="21" t="s">
        <x:v>276</x:v>
      </x:c>
      <x:c r="C1" s="20" t="s">
        <x:v>277</x:v>
      </x:c>
    </x:row>
    <x:row r="2" spans="1:3" ht="31.5" customHeight="1" x14ac:dyDescent="0.25">
      <x:c r="A2" s="326" t="s">
        <x:v>278</x:v>
      </x:c>
      <x:c r="B2" s="327" t="s">
        <x:v>279</x:v>
      </x:c>
      <x:c r="C2" s="225"/>
    </x:row>
    <x:row r="3" spans="1:3" ht="16.5" customHeight="1" x14ac:dyDescent="0.25">
      <x:c r="A3" s="326"/>
      <x:c r="B3" s="328" t="s">
        <x:v>280</x:v>
      </x:c>
      <x:c r="C3" s="226"/>
    </x:row>
    <x:row r="4" spans="1:3" ht="16.5" customHeight="1" x14ac:dyDescent="0.25">
      <x:c r="A4" s="326"/>
      <x:c r="B4" s="328" t="s">
        <x:v>281</x:v>
      </x:c>
      <x:c r="C4" s="226"/>
    </x:row>
    <x:row r="5" spans="1:3" ht="46.5" customHeight="1" x14ac:dyDescent="0.25">
      <x:c r="A5" s="326"/>
      <x:c r="B5" s="328" t="s">
        <x:v>282</x:v>
      </x:c>
      <x:c r="C5" s="226"/>
    </x:row>
    <x:row r="6" spans="1:3" ht="31.5" customHeight="1" x14ac:dyDescent="0.25">
      <x:c r="A6" s="326"/>
      <x:c r="B6" s="328" t="s">
        <x:v>283</x:v>
      </x:c>
      <x:c r="C6" s="226"/>
    </x:row>
    <x:row r="7" spans="1:3" ht="31.5" customHeight="1" x14ac:dyDescent="0.25">
      <x:c r="A7" s="326"/>
      <x:c r="B7" s="328" t="s">
        <x:v>284</x:v>
      </x:c>
      <x:c r="C7" s="226"/>
    </x:row>
    <x:row r="8" spans="1:3" ht="16.5" customHeight="1" x14ac:dyDescent="0.25">
      <x:c r="A8" s="326"/>
      <x:c r="B8" s="328" t="s">
        <x:v>285</x:v>
      </x:c>
      <x:c r="C8" s="226"/>
    </x:row>
    <x:row r="9" spans="1:3" ht="31.5" customHeight="1" x14ac:dyDescent="0.25">
      <x:c r="A9" s="326"/>
      <x:c r="B9" s="328" t="s">
        <x:v>286</x:v>
      </x:c>
      <x:c r="C9" s="226"/>
    </x:row>
    <x:row r="10" spans="1:3" ht="31.5" customHeight="1" x14ac:dyDescent="0.25">
      <x:c r="A10" s="326"/>
      <x:c r="B10" s="328" t="s">
        <x:v>287</x:v>
      </x:c>
      <x:c r="C10" s="226"/>
    </x:row>
    <x:row r="11" spans="1:3" ht="16.5" customHeight="1" x14ac:dyDescent="0.25">
      <x:c r="A11" s="326"/>
      <x:c r="B11" s="328" t="s">
        <x:v>288</x:v>
      </x:c>
      <x:c r="C11" s="226"/>
    </x:row>
    <x:row r="12" spans="1:3" ht="16.5" customHeight="1" x14ac:dyDescent="0.25">
      <x:c r="A12" s="326"/>
      <x:c r="B12" s="328" t="s">
        <x:v>289</x:v>
      </x:c>
      <x:c r="C12" s="226"/>
    </x:row>
    <x:row r="13" spans="1:3" ht="31.5" customHeight="1" x14ac:dyDescent="0.25">
      <x:c r="A13" s="326"/>
      <x:c r="B13" s="328" t="s">
        <x:v>290</x:v>
      </x:c>
      <x:c r="C13" s="226"/>
    </x:row>
    <x:row r="14" spans="1:3" ht="16.5" customHeight="1" x14ac:dyDescent="0.25">
      <x:c r="A14" s="326"/>
      <x:c r="B14" s="328" t="s">
        <x:v>291</x:v>
      </x:c>
      <x:c r="C14" s="226"/>
    </x:row>
    <x:row r="15" spans="1:3" ht="31.5" customHeight="1" x14ac:dyDescent="0.25">
      <x:c r="A15" s="326"/>
      <x:c r="B15" s="328" t="s">
        <x:v>292</x:v>
      </x:c>
      <x:c r="C15" s="226"/>
    </x:row>
    <x:row r="16" spans="1:3" ht="16.5" customHeight="1" x14ac:dyDescent="0.25">
      <x:c r="A16" s="326"/>
      <x:c r="B16" s="328" t="s">
        <x:v>293</x:v>
      </x:c>
      <x:c r="C16" s="226"/>
    </x:row>
    <x:row r="17" spans="1:3" ht="16.5" customHeight="1" x14ac:dyDescent="0.25">
      <x:c r="A17" s="326"/>
      <x:c r="B17" s="328" t="s">
        <x:v>294</x:v>
      </x:c>
      <x:c r="C17" s="226"/>
    </x:row>
    <x:row r="18" spans="1:3" ht="16.5" customHeight="1" x14ac:dyDescent="0.25">
      <x:c r="A18" s="326"/>
      <x:c r="B18" s="328" t="s">
        <x:v>295</x:v>
      </x:c>
      <x:c r="C18" s="226"/>
    </x:row>
    <x:row r="19" spans="1:3" ht="31.5" customHeight="1" x14ac:dyDescent="0.25">
      <x:c r="A19" s="326"/>
      <x:c r="B19" s="328" t="s">
        <x:v>296</x:v>
      </x:c>
      <x:c r="C19" s="226"/>
    </x:row>
    <x:row r="20" spans="1:3" ht="31.5" customHeight="1" x14ac:dyDescent="0.25">
      <x:c r="A20" s="326"/>
      <x:c r="B20" s="328" t="s">
        <x:v>297</x:v>
      </x:c>
      <x:c r="C20" s="226"/>
    </x:row>
    <x:row r="21" spans="1:3" ht="16.5" customHeight="1" x14ac:dyDescent="0.25">
      <x:c r="A21" s="326"/>
      <x:c r="B21" s="328" t="s">
        <x:v>298</x:v>
      </x:c>
      <x:c r="C21" s="226"/>
    </x:row>
    <x:row r="22" spans="1:3" ht="16.5" customHeight="1" x14ac:dyDescent="0.25">
      <x:c r="A22" s="326"/>
      <x:c r="B22" s="328" t="s">
        <x:v>299</x:v>
      </x:c>
      <x:c r="C22" s="226"/>
    </x:row>
    <x:row r="23" spans="1:3" ht="16.5" customHeight="1" x14ac:dyDescent="0.25">
      <x:c r="A23" s="326"/>
      <x:c r="B23" s="328" t="s">
        <x:v>300</x:v>
      </x:c>
      <x:c r="C23" s="226"/>
    </x:row>
    <x:row r="24" spans="1:3" ht="16.5" customHeight="1" x14ac:dyDescent="0.25">
      <x:c r="A24" s="326"/>
      <x:c r="B24" s="328" t="s">
        <x:v>301</x:v>
      </x:c>
      <x:c r="C24" s="226"/>
    </x:row>
    <x:row r="25" spans="1:3" ht="46.5" customHeight="1" x14ac:dyDescent="0.25">
      <x:c r="A25" s="326"/>
      <x:c r="B25" s="328" t="s">
        <x:v>302</x:v>
      </x:c>
      <x:c r="C25" s="226"/>
    </x:row>
    <x:row r="26" spans="1:3" ht="31.5" customHeight="1" x14ac:dyDescent="0.25">
      <x:c r="A26" s="326"/>
      <x:c r="B26" s="329" t="s">
        <x:v>303</x:v>
      </x:c>
      <x:c r="C26" s="227"/>
    </x:row>
    <x:row r="27" spans="1:3" ht="16.5" customHeight="1" x14ac:dyDescent="0.25">
      <x:c r="A27" s="330" t="s">
        <x:v>304</x:v>
      </x:c>
      <x:c r="B27" s="331" t="s">
        <x:v>305</x:v>
      </x:c>
      <x:c r="C27" s="225"/>
    </x:row>
    <x:row r="28" spans="1:3" ht="31.5" customHeight="1" x14ac:dyDescent="0.25">
      <x:c r="A28" s="330"/>
      <x:c r="B28" s="332" t="s">
        <x:v>306</x:v>
      </x:c>
      <x:c r="C28" s="226"/>
    </x:row>
    <x:row r="29" spans="1:3" ht="16.5" customHeight="1" x14ac:dyDescent="0.25">
      <x:c r="A29" s="330"/>
      <x:c r="B29" s="332" t="s">
        <x:v>307</x:v>
      </x:c>
      <x:c r="C29" s="226"/>
    </x:row>
    <x:row r="30" spans="1:3" ht="46.5" customHeight="1" x14ac:dyDescent="0.25">
      <x:c r="A30" s="330"/>
      <x:c r="B30" s="332" t="s">
        <x:v>308</x:v>
      </x:c>
      <x:c r="C30" s="226"/>
    </x:row>
    <x:row r="31" spans="1:3" ht="16.5" customHeight="1" x14ac:dyDescent="0.25">
      <x:c r="A31" s="330"/>
      <x:c r="B31" s="332" t="s">
        <x:v>309</x:v>
      </x:c>
      <x:c r="C31" s="226"/>
    </x:row>
    <x:row r="32" spans="1:3" ht="16.5" customHeight="1" x14ac:dyDescent="0.25">
      <x:c r="A32" s="330"/>
      <x:c r="B32" s="333" t="s">
        <x:v>310</x:v>
      </x:c>
      <x:c r="C32" s="227"/>
    </x:row>
    <x:row r="33" spans="1:3" ht="46.5" customHeight="1" x14ac:dyDescent="0.25">
      <x:c r="A33" s="334" t="s">
        <x:v>311</x:v>
      </x:c>
      <x:c r="B33" s="331" t="s">
        <x:v>312</x:v>
      </x:c>
      <x:c r="C33" s="225"/>
    </x:row>
    <x:row r="34" spans="1:3" ht="16.5" customHeight="1" x14ac:dyDescent="0.25">
      <x:c r="A34" s="334"/>
      <x:c r="B34" s="332" t="s">
        <x:v>313</x:v>
      </x:c>
      <x:c r="C34" s="226"/>
    </x:row>
    <x:row r="35" spans="1:3" ht="16.5" customHeight="1" x14ac:dyDescent="0.25">
      <x:c r="A35" s="334"/>
      <x:c r="B35" s="332" t="s">
        <x:v>314</x:v>
      </x:c>
      <x:c r="C35" s="226"/>
    </x:row>
    <x:row r="36" spans="1:3" ht="31.5" customHeight="1" x14ac:dyDescent="0.25">
      <x:c r="A36" s="334"/>
      <x:c r="B36" s="332" t="s">
        <x:v>315</x:v>
      </x:c>
      <x:c r="C36" s="226"/>
    </x:row>
    <x:row r="37" spans="1:3" ht="31.5" customHeight="1" x14ac:dyDescent="0.25">
      <x:c r="A37" s="334"/>
      <x:c r="B37" s="332" t="s">
        <x:v>316</x:v>
      </x:c>
      <x:c r="C37" s="226"/>
    </x:row>
    <x:row r="38" spans="1:3" ht="31.5" customHeight="1" x14ac:dyDescent="0.25">
      <x:c r="A38" s="334"/>
      <x:c r="B38" s="332" t="s">
        <x:v>317</x:v>
      </x:c>
      <x:c r="C38" s="226"/>
    </x:row>
    <x:row r="39" spans="1:3" ht="31.5" customHeight="1" x14ac:dyDescent="0.25">
      <x:c r="A39" s="334"/>
      <x:c r="B39" s="332" t="s">
        <x:v>318</x:v>
      </x:c>
      <x:c r="C39" s="226"/>
    </x:row>
    <x:row r="40" spans="1:3" ht="16.5" customHeight="1" x14ac:dyDescent="0.25">
      <x:c r="A40" s="334"/>
      <x:c r="B40" s="332" t="s">
        <x:v>319</x:v>
      </x:c>
      <x:c r="C40" s="226"/>
    </x:row>
    <x:row r="41" spans="1:3" ht="16.5" customHeight="1" x14ac:dyDescent="0.25">
      <x:c r="A41" s="334"/>
      <x:c r="B41" s="332" t="s">
        <x:v>320</x:v>
      </x:c>
      <x:c r="C41" s="226"/>
    </x:row>
    <x:row r="42" spans="1:3" ht="16.5" customHeight="1" x14ac:dyDescent="0.25">
      <x:c r="A42" s="334"/>
      <x:c r="B42" s="332" t="s">
        <x:v>321</x:v>
      </x:c>
      <x:c r="C42" s="226"/>
    </x:row>
    <x:row r="43" spans="1:3" ht="16.5" customHeight="1" x14ac:dyDescent="0.25">
      <x:c r="A43" s="334"/>
      <x:c r="B43" s="332" t="s">
        <x:v>322</x:v>
      </x:c>
      <x:c r="C43" s="226"/>
    </x:row>
    <x:row r="44" spans="1:3" ht="31.5" customHeight="1" x14ac:dyDescent="0.25">
      <x:c r="A44" s="334"/>
      <x:c r="B44" s="332" t="s">
        <x:v>323</x:v>
      </x:c>
      <x:c r="C44" s="226"/>
    </x:row>
    <x:row r="45" spans="1:3" ht="16.5" customHeight="1" x14ac:dyDescent="0.25">
      <x:c r="A45" s="334"/>
      <x:c r="B45" s="332" t="s">
        <x:v>324</x:v>
      </x:c>
      <x:c r="C45" s="226"/>
    </x:row>
    <x:row r="46" spans="1:3" ht="16.5" customHeight="1" x14ac:dyDescent="0.25">
      <x:c r="A46" s="334"/>
      <x:c r="B46" s="332" t="s">
        <x:v>325</x:v>
      </x:c>
      <x:c r="C46" s="226"/>
    </x:row>
    <x:row r="47" spans="1:3" ht="16.5" customHeight="1" x14ac:dyDescent="0.25">
      <x:c r="A47" s="334"/>
      <x:c r="B47" s="332" t="s">
        <x:v>326</x:v>
      </x:c>
      <x:c r="C47" s="226"/>
    </x:row>
    <x:row r="48" spans="1:3" ht="16.5" customHeight="1" x14ac:dyDescent="0.25">
      <x:c r="A48" s="334"/>
      <x:c r="B48" s="332" t="s">
        <x:v>327</x:v>
      </x:c>
      <x:c r="C48" s="226"/>
    </x:row>
    <x:row r="49" spans="1:3" ht="16.5" customHeight="1" x14ac:dyDescent="0.25">
      <x:c r="A49" s="334"/>
      <x:c r="B49" s="332" t="s">
        <x:v>328</x:v>
      </x:c>
      <x:c r="C49" s="226"/>
    </x:row>
    <x:row r="50" spans="1:3" ht="16.5" customHeight="1" x14ac:dyDescent="0.25">
      <x:c r="A50" s="334"/>
      <x:c r="B50" s="332" t="s">
        <x:v>329</x:v>
      </x:c>
      <x:c r="C50" s="226"/>
    </x:row>
    <x:row r="51" spans="1:3" ht="16.5" customHeight="1" x14ac:dyDescent="0.25">
      <x:c r="A51" s="334"/>
      <x:c r="B51" s="332" t="s">
        <x:v>330</x:v>
      </x:c>
      <x:c r="C51" s="226"/>
    </x:row>
    <x:row r="52" spans="1:3" ht="31.5" customHeight="1" x14ac:dyDescent="0.25">
      <x:c r="A52" s="334"/>
      <x:c r="B52" s="332" t="s">
        <x:v>331</x:v>
      </x:c>
      <x:c r="C52" s="226"/>
    </x:row>
    <x:row r="53" spans="1:3" ht="16.5" customHeight="1" x14ac:dyDescent="0.25">
      <x:c r="A53" s="334"/>
      <x:c r="B53" s="332" t="s">
        <x:v>332</x:v>
      </x:c>
      <x:c r="C53" s="226"/>
    </x:row>
    <x:row r="54" spans="1:3" ht="16.5" customHeight="1" x14ac:dyDescent="0.25">
      <x:c r="A54" s="334"/>
      <x:c r="B54" s="332" t="s">
        <x:v>333</x:v>
      </x:c>
      <x:c r="C54" s="226"/>
    </x:row>
    <x:row r="55" spans="1:3" ht="16.5" customHeight="1" x14ac:dyDescent="0.25">
      <x:c r="A55" s="334"/>
      <x:c r="B55" s="332" t="s">
        <x:v>334</x:v>
      </x:c>
      <x:c r="C55" s="226"/>
    </x:row>
    <x:row r="56" spans="1:3" ht="31.5" customHeight="1" x14ac:dyDescent="0.25">
      <x:c r="A56" s="334"/>
      <x:c r="B56" s="332" t="s">
        <x:v>335</x:v>
      </x:c>
      <x:c r="C56" s="226"/>
    </x:row>
    <x:row r="57" spans="1:3" ht="31.5" customHeight="1" x14ac:dyDescent="0.25">
      <x:c r="A57" s="334"/>
      <x:c r="B57" s="332" t="s">
        <x:v>336</x:v>
      </x:c>
      <x:c r="C57" s="226"/>
    </x:row>
    <x:row r="58" spans="1:3" ht="16.5" customHeight="1" x14ac:dyDescent="0.25">
      <x:c r="A58" s="334"/>
      <x:c r="B58" s="332" t="s">
        <x:v>337</x:v>
      </x:c>
      <x:c r="C58" s="226"/>
    </x:row>
    <x:row r="59" spans="1:3" ht="16.5" customHeight="1" x14ac:dyDescent="0.25">
      <x:c r="A59" s="334"/>
      <x:c r="B59" s="332" t="s">
        <x:v>338</x:v>
      </x:c>
      <x:c r="C59" s="226"/>
    </x:row>
    <x:row r="60" spans="1:3" ht="31.5" customHeight="1" x14ac:dyDescent="0.25">
      <x:c r="A60" s="334"/>
      <x:c r="B60" s="332" t="s">
        <x:v>339</x:v>
      </x:c>
      <x:c r="C60" s="226"/>
    </x:row>
    <x:row r="61" spans="1:3" ht="31.5" customHeight="1" x14ac:dyDescent="0.25">
      <x:c r="A61" s="334"/>
      <x:c r="B61" s="332" t="s">
        <x:v>340</x:v>
      </x:c>
      <x:c r="C61" s="226"/>
    </x:row>
    <x:row r="62" spans="1:3" ht="31.5" customHeight="1" x14ac:dyDescent="0.25">
      <x:c r="A62" s="334"/>
      <x:c r="B62" s="332" t="s">
        <x:v>341</x:v>
      </x:c>
      <x:c r="C62" s="226"/>
    </x:row>
    <x:row r="63" spans="1:3" ht="46.5" customHeight="1" x14ac:dyDescent="0.25">
      <x:c r="A63" s="334"/>
      <x:c r="B63" s="332" t="s">
        <x:v>342</x:v>
      </x:c>
      <x:c r="C63" s="226"/>
    </x:row>
    <x:row r="64" spans="1:3" ht="16.5" customHeight="1" x14ac:dyDescent="0.25">
      <x:c r="A64" s="334"/>
      <x:c r="B64" s="332" t="s">
        <x:v>343</x:v>
      </x:c>
      <x:c r="C64" s="226"/>
    </x:row>
    <x:row r="65" spans="1:3" ht="16.5" customHeight="1" x14ac:dyDescent="0.25">
      <x:c r="A65" s="334"/>
      <x:c r="B65" s="332" t="s">
        <x:v>344</x:v>
      </x:c>
      <x:c r="C65" s="226"/>
    </x:row>
    <x:row r="66" spans="1:3" ht="31.5" customHeight="1" x14ac:dyDescent="0.25">
      <x:c r="A66" s="334"/>
      <x:c r="B66" s="332" t="s">
        <x:v>345</x:v>
      </x:c>
      <x:c r="C66" s="226"/>
    </x:row>
    <x:row r="67" spans="1:3" ht="31.5" customHeight="1" x14ac:dyDescent="0.25">
      <x:c r="A67" s="334"/>
      <x:c r="B67" s="332" t="s">
        <x:v>346</x:v>
      </x:c>
      <x:c r="C67" s="226"/>
    </x:row>
    <x:row r="68" spans="1:3" ht="31.5" customHeight="1" x14ac:dyDescent="0.25">
      <x:c r="A68" s="334"/>
      <x:c r="B68" s="332" t="s">
        <x:v>347</x:v>
      </x:c>
      <x:c r="C68" s="226"/>
    </x:row>
    <x:row r="69" spans="1:3" ht="16.5" customHeight="1" x14ac:dyDescent="0.25">
      <x:c r="A69" s="334"/>
      <x:c r="B69" s="332" t="s">
        <x:v>348</x:v>
      </x:c>
      <x:c r="C69" s="226"/>
    </x:row>
    <x:row r="70" spans="1:3" ht="31.5" customHeight="1" x14ac:dyDescent="0.25">
      <x:c r="A70" s="334"/>
      <x:c r="B70" s="332" t="s">
        <x:v>349</x:v>
      </x:c>
      <x:c r="C70" s="226"/>
    </x:row>
    <x:row r="71" spans="1:3" ht="16.5" customHeight="1" x14ac:dyDescent="0.25">
      <x:c r="A71" s="334"/>
      <x:c r="B71" s="333" t="s">
        <x:v>350</x:v>
      </x:c>
      <x:c r="C71" s="227"/>
    </x:row>
    <x:row r="72" spans="1:3" ht="31.5" customHeight="1" x14ac:dyDescent="0.25">
      <x:c r="A72" s="335" t="s">
        <x:v>351</x:v>
      </x:c>
      <x:c r="B72" s="336" t="s">
        <x:v>352</x:v>
      </x:c>
      <x:c r="C72" s="231"/>
    </x:row>
    <x:row r="73" spans="1:3" ht="31.5" customHeight="1" x14ac:dyDescent="0.25">
      <x:c r="A73" s="335"/>
      <x:c r="B73" s="337" t="s">
        <x:v>353</x:v>
      </x:c>
      <x:c r="C73" s="232"/>
    </x:row>
    <x:row r="74" spans="1:3" ht="16.5" customHeight="1" x14ac:dyDescent="0.25">
      <x:c r="A74" s="335"/>
      <x:c r="B74" s="337" t="s">
        <x:v>354</x:v>
      </x:c>
      <x:c r="C74" s="232"/>
    </x:row>
    <x:row r="75" spans="1:3" ht="31.5" customHeight="1" x14ac:dyDescent="0.25">
      <x:c r="A75" s="335"/>
      <x:c r="B75" s="337" t="s">
        <x:v>355</x:v>
      </x:c>
      <x:c r="C75" s="232"/>
    </x:row>
    <x:row r="76" spans="1:3" ht="16.5" customHeight="1" x14ac:dyDescent="0.25">
      <x:c r="A76" s="335"/>
      <x:c r="B76" s="337" t="s">
        <x:v>356</x:v>
      </x:c>
      <x:c r="C76" s="232"/>
    </x:row>
    <x:row r="77" spans="1:3" ht="16.5" customHeight="1" x14ac:dyDescent="0.25">
      <x:c r="A77" s="335"/>
      <x:c r="B77" s="337" t="s">
        <x:v>357</x:v>
      </x:c>
      <x:c r="C77" s="232"/>
    </x:row>
    <x:row r="78" spans="1:3" ht="31.5" customHeight="1" x14ac:dyDescent="0.25">
      <x:c r="A78" s="335"/>
      <x:c r="B78" s="337" t="s">
        <x:v>358</x:v>
      </x:c>
      <x:c r="C78" s="232"/>
    </x:row>
    <x:row r="79" spans="1:3" ht="16.5" customHeight="1" x14ac:dyDescent="0.25">
      <x:c r="A79" s="335"/>
      <x:c r="B79" s="337" t="s">
        <x:v>359</x:v>
      </x:c>
      <x:c r="C79" s="232"/>
    </x:row>
    <x:row r="80" spans="1:3" ht="31.5" customHeight="1" x14ac:dyDescent="0.25">
      <x:c r="A80" s="335"/>
      <x:c r="B80" s="337" t="s">
        <x:v>360</x:v>
      </x:c>
      <x:c r="C80" s="232"/>
    </x:row>
    <x:row r="81" spans="1:3" ht="16.5" customHeight="1" x14ac:dyDescent="0.25">
      <x:c r="A81" s="335"/>
      <x:c r="B81" s="337" t="s">
        <x:v>361</x:v>
      </x:c>
      <x:c r="C81" s="232"/>
    </x:row>
    <x:row r="82" spans="1:3" ht="16.5" customHeight="1" x14ac:dyDescent="0.25">
      <x:c r="A82" s="335"/>
      <x:c r="B82" s="337" t="s">
        <x:v>362</x:v>
      </x:c>
      <x:c r="C82" s="232"/>
    </x:row>
    <x:row r="83" spans="1:3" ht="16.5" customHeight="1" x14ac:dyDescent="0.25">
      <x:c r="A83" s="335"/>
      <x:c r="B83" s="337" t="s">
        <x:v>363</x:v>
      </x:c>
      <x:c r="C83" s="232"/>
    </x:row>
    <x:row r="84" spans="1:3" ht="16.5" customHeight="1" x14ac:dyDescent="0.25">
      <x:c r="A84" s="335"/>
      <x:c r="B84" s="338" t="s">
        <x:v>364</x:v>
      </x:c>
      <x:c r="C84" s="233"/>
    </x:row>
    <x:row r="85" spans="1:3" ht="31.5" customHeight="1" x14ac:dyDescent="0.25">
      <x:c r="A85" s="339" t="s">
        <x:v>365</x:v>
      </x:c>
      <x:c r="B85" s="331" t="s">
        <x:v>366</x:v>
      </x:c>
      <x:c r="C85" s="235" t="s">
        <x:v>367</x:v>
      </x:c>
    </x:row>
    <x:row r="86" spans="1:3" ht="31.5" customHeight="1" x14ac:dyDescent="0.25">
      <x:c r="A86" s="339"/>
      <x:c r="B86" s="332" t="s">
        <x:v>368</x:v>
      </x:c>
      <x:c r="C86" s="236"/>
    </x:row>
    <x:row r="87" spans="1:3" ht="31.5" customHeight="1" x14ac:dyDescent="0.25">
      <x:c r="A87" s="339"/>
      <x:c r="B87" s="332" t="s">
        <x:v>369</x:v>
      </x:c>
      <x:c r="C87" s="236"/>
    </x:row>
    <x:row r="88" spans="1:3" ht="31.5" customHeight="1" x14ac:dyDescent="0.25">
      <x:c r="A88" s="339"/>
      <x:c r="B88" s="332" t="s">
        <x:v>370</x:v>
      </x:c>
      <x:c r="C88" s="232"/>
    </x:row>
    <x:row r="89" spans="1:3" ht="46.5" customHeight="1" x14ac:dyDescent="0.25">
      <x:c r="A89" s="339"/>
      <x:c r="B89" s="332" t="s">
        <x:v>371</x:v>
      </x:c>
      <x:c r="C89" s="232"/>
    </x:row>
    <x:row r="90" spans="1:3" ht="31.5" customHeight="1" x14ac:dyDescent="0.25">
      <x:c r="A90" s="339"/>
      <x:c r="B90" s="332" t="s">
        <x:v>372</x:v>
      </x:c>
      <x:c r="C90" s="232"/>
    </x:row>
    <x:row r="91" spans="1:3" ht="31.5" customHeight="1" x14ac:dyDescent="0.25">
      <x:c r="A91" s="339"/>
      <x:c r="B91" s="332" t="s">
        <x:v>373</x:v>
      </x:c>
      <x:c r="C91" s="232"/>
    </x:row>
    <x:row r="92" spans="1:3" ht="16.5" customHeight="1" x14ac:dyDescent="0.25">
      <x:c r="A92" s="339"/>
      <x:c r="B92" s="332" t="s">
        <x:v>374</x:v>
      </x:c>
      <x:c r="C92" s="232"/>
    </x:row>
    <x:row r="93" spans="1:3" ht="16.5" customHeight="1" x14ac:dyDescent="0.25">
      <x:c r="A93" s="339"/>
      <x:c r="B93" s="332" t="s">
        <x:v>375</x:v>
      </x:c>
      <x:c r="C93" s="232"/>
    </x:row>
    <x:row r="94" spans="1:3" ht="16.5" customHeight="1" x14ac:dyDescent="0.25">
      <x:c r="A94" s="339"/>
      <x:c r="B94" s="332" t="s">
        <x:v>376</x:v>
      </x:c>
      <x:c r="C94" s="232"/>
    </x:row>
    <x:row r="95" spans="1:3" ht="16.5" customHeight="1" x14ac:dyDescent="0.25">
      <x:c r="A95" s="339"/>
      <x:c r="B95" s="332" t="s">
        <x:v>377</x:v>
      </x:c>
      <x:c r="C95" s="232"/>
    </x:row>
    <x:row r="96" spans="1:3" ht="31.5" customHeight="1" x14ac:dyDescent="0.25">
      <x:c r="A96" s="339"/>
      <x:c r="B96" s="332" t="s">
        <x:v>378</x:v>
      </x:c>
      <x:c r="C96" s="232"/>
    </x:row>
    <x:row r="97" spans="1:3" ht="16.5" customHeight="1" x14ac:dyDescent="0.25">
      <x:c r="A97" s="339"/>
      <x:c r="B97" s="332" t="s">
        <x:v>379</x:v>
      </x:c>
      <x:c r="C97" s="232"/>
    </x:row>
    <x:row r="98" spans="1:3" ht="31.5" customHeight="1" x14ac:dyDescent="0.25">
      <x:c r="A98" s="339"/>
      <x:c r="B98" s="332" t="s">
        <x:v>380</x:v>
      </x:c>
      <x:c r="C98" s="232"/>
    </x:row>
    <x:row r="99" spans="1:3" ht="31.5" customHeight="1" x14ac:dyDescent="0.25">
      <x:c r="A99" s="339"/>
      <x:c r="B99" s="333" t="s">
        <x:v>381</x:v>
      </x:c>
      <x:c r="C99" s="233"/>
    </x:row>
    <x:row r="100" spans="1:3" ht="31.5" customHeight="1" x14ac:dyDescent="0.25">
      <x:c r="A100" s="340" t="s">
        <x:v>382</x:v>
      </x:c>
      <x:c r="B100" s="341" t="s">
        <x:v>383</x:v>
      </x:c>
      <x:c r="C100" s="225"/>
    </x:row>
    <x:row r="101" spans="1:3" ht="16.5" customHeight="1" x14ac:dyDescent="0.25">
      <x:c r="A101" s="340"/>
      <x:c r="B101" s="342" t="s">
        <x:v>384</x:v>
      </x:c>
      <x:c r="C101" s="226"/>
    </x:row>
    <x:row r="102" spans="1:3" ht="16.5" customHeight="1" x14ac:dyDescent="0.25">
      <x:c r="A102" s="340"/>
      <x:c r="B102" s="342" t="s">
        <x:v>385</x:v>
      </x:c>
      <x:c r="C102" s="226"/>
    </x:row>
    <x:row r="103" spans="1:3" ht="16.5" customHeight="1" x14ac:dyDescent="0.25">
      <x:c r="A103" s="340"/>
      <x:c r="B103" s="342" t="s">
        <x:v>386</x:v>
      </x:c>
      <x:c r="C103" s="226"/>
    </x:row>
    <x:row r="104" spans="1:3" ht="16.5" customHeight="1" x14ac:dyDescent="0.25">
      <x:c r="A104" s="340"/>
      <x:c r="B104" s="342" t="s">
        <x:v>387</x:v>
      </x:c>
      <x:c r="C104" s="226"/>
    </x:row>
    <x:row r="105" spans="1:3" ht="16.5" customHeight="1" x14ac:dyDescent="0.25">
      <x:c r="A105" s="340"/>
      <x:c r="B105" s="342" t="s">
        <x:v>388</x:v>
      </x:c>
      <x:c r="C105" s="226"/>
    </x:row>
    <x:row r="106" spans="1:3" ht="31.5" customHeight="1" x14ac:dyDescent="0.25">
      <x:c r="A106" s="340"/>
      <x:c r="B106" s="342" t="s">
        <x:v>389</x:v>
      </x:c>
      <x:c r="C106" s="226"/>
    </x:row>
    <x:row r="107" spans="1:3" ht="16.5" customHeight="1" x14ac:dyDescent="0.25">
      <x:c r="A107" s="340"/>
      <x:c r="B107" s="342" t="s">
        <x:v>390</x:v>
      </x:c>
      <x:c r="C107" s="226"/>
    </x:row>
    <x:row r="108" spans="1:3" ht="16.5" customHeight="1" x14ac:dyDescent="0.25">
      <x:c r="A108" s="340"/>
      <x:c r="B108" s="342" t="s">
        <x:v>391</x:v>
      </x:c>
      <x:c r="C108" s="226"/>
    </x:row>
    <x:row r="109" spans="1:3" ht="31.5" customHeight="1" x14ac:dyDescent="0.25">
      <x:c r="A109" s="340"/>
      <x:c r="B109" s="342" t="s">
        <x:v>392</x:v>
      </x:c>
      <x:c r="C109" s="226"/>
    </x:row>
    <x:row r="110" spans="1:3" ht="31.5" customHeight="1" x14ac:dyDescent="0.25">
      <x:c r="A110" s="340"/>
      <x:c r="B110" s="342" t="s">
        <x:v>393</x:v>
      </x:c>
      <x:c r="C110" s="226"/>
    </x:row>
    <x:row r="111" spans="1:3" ht="16.5" customHeight="1" x14ac:dyDescent="0.25">
      <x:c r="A111" s="340"/>
      <x:c r="B111" s="342" t="s">
        <x:v>394</x:v>
      </x:c>
      <x:c r="C111" s="226"/>
    </x:row>
    <x:row r="112" spans="1:3" ht="16.5" customHeight="1" x14ac:dyDescent="0.25">
      <x:c r="A112" s="340"/>
      <x:c r="B112" s="342" t="s">
        <x:v>395</x:v>
      </x:c>
      <x:c r="C112" s="226"/>
    </x:row>
    <x:row r="113" spans="1:3" ht="16.5" customHeight="1" x14ac:dyDescent="0.25">
      <x:c r="A113" s="340"/>
      <x:c r="B113" s="342" t="s">
        <x:v>396</x:v>
      </x:c>
      <x:c r="C113" s="226"/>
    </x:row>
    <x:row r="114" spans="1:3" ht="16.5" customHeight="1" x14ac:dyDescent="0.25">
      <x:c r="A114" s="340"/>
      <x:c r="B114" s="342" t="s">
        <x:v>397</x:v>
      </x:c>
      <x:c r="C114" s="226"/>
    </x:row>
    <x:row r="115" spans="1:3" ht="31.5" customHeight="1" x14ac:dyDescent="0.25">
      <x:c r="A115" s="340"/>
      <x:c r="B115" s="342" t="s">
        <x:v>398</x:v>
      </x:c>
      <x:c r="C115" s="226"/>
    </x:row>
    <x:row r="116" spans="1:3" ht="46.5" customHeight="1" x14ac:dyDescent="0.25">
      <x:c r="A116" s="340"/>
      <x:c r="B116" s="342" t="s">
        <x:v>399</x:v>
      </x:c>
      <x:c r="C116" s="226"/>
    </x:row>
    <x:row r="117" spans="1:3" ht="16.5" customHeight="1" x14ac:dyDescent="0.25">
      <x:c r="A117" s="340"/>
      <x:c r="B117" s="342" t="s">
        <x:v>400</x:v>
      </x:c>
      <x:c r="C117" s="226"/>
    </x:row>
    <x:row r="118" spans="1:3" ht="31.5" customHeight="1" x14ac:dyDescent="0.25">
      <x:c r="A118" s="340"/>
      <x:c r="B118" s="342" t="s">
        <x:v>401</x:v>
      </x:c>
      <x:c r="C118" s="226"/>
    </x:row>
    <x:row r="119" spans="1:3" ht="16.5" customHeight="1" x14ac:dyDescent="0.25">
      <x:c r="A119" s="340"/>
      <x:c r="B119" s="342" t="s">
        <x:v>402</x:v>
      </x:c>
      <x:c r="C119" s="226"/>
    </x:row>
    <x:row r="120" spans="1:3" ht="31.5" customHeight="1" x14ac:dyDescent="0.25">
      <x:c r="A120" s="340"/>
      <x:c r="B120" s="342" t="s">
        <x:v>403</x:v>
      </x:c>
      <x:c r="C120" s="226"/>
    </x:row>
    <x:row r="121" spans="1:3" ht="16.5" customHeight="1" x14ac:dyDescent="0.25">
      <x:c r="A121" s="340"/>
      <x:c r="B121" s="342" t="s">
        <x:v>404</x:v>
      </x:c>
      <x:c r="C121" s="226"/>
    </x:row>
    <x:row r="122" spans="1:3" ht="16.5" customHeight="1" x14ac:dyDescent="0.25">
      <x:c r="A122" s="340"/>
      <x:c r="B122" s="342" t="s">
        <x:v>405</x:v>
      </x:c>
      <x:c r="C122" s="226"/>
    </x:row>
    <x:row r="123" spans="1:3" ht="16.5" customHeight="1" x14ac:dyDescent="0.25">
      <x:c r="A123" s="340"/>
      <x:c r="B123" s="342" t="s">
        <x:v>406</x:v>
      </x:c>
      <x:c r="C123" s="226"/>
    </x:row>
    <x:row r="124" spans="1:3" ht="16.5" customHeight="1" x14ac:dyDescent="0.25">
      <x:c r="A124" s="340"/>
      <x:c r="B124" s="342" t="s">
        <x:v>407</x:v>
      </x:c>
      <x:c r="C124" s="226"/>
    </x:row>
    <x:row r="125" spans="1:3" ht="16.5" customHeight="1" x14ac:dyDescent="0.25">
      <x:c r="A125" s="340"/>
      <x:c r="B125" s="342" t="s">
        <x:v>408</x:v>
      </x:c>
      <x:c r="C125" s="226"/>
    </x:row>
    <x:row r="126" spans="1:3" ht="16.5" customHeight="1" x14ac:dyDescent="0.25">
      <x:c r="A126" s="340"/>
      <x:c r="B126" s="342" t="s">
        <x:v>409</x:v>
      </x:c>
      <x:c r="C126" s="226"/>
    </x:row>
    <x:row r="127" spans="1:3" ht="16.5" customHeight="1" x14ac:dyDescent="0.25">
      <x:c r="A127" s="340"/>
      <x:c r="B127" s="342" t="s">
        <x:v>410</x:v>
      </x:c>
      <x:c r="C127" s="226"/>
    </x:row>
    <x:row r="128" spans="1:3" ht="16.5" customHeight="1" x14ac:dyDescent="0.25">
      <x:c r="A128" s="340"/>
      <x:c r="B128" s="342" t="s">
        <x:v>411</x:v>
      </x:c>
      <x:c r="C128" s="226"/>
    </x:row>
    <x:row r="129" spans="1:3" ht="16.5" customHeight="1" x14ac:dyDescent="0.25">
      <x:c r="A129" s="340"/>
      <x:c r="B129" s="342" t="s">
        <x:v>412</x:v>
      </x:c>
      <x:c r="C129" s="226"/>
    </x:row>
    <x:row r="130" spans="1:3" ht="31.5" customHeight="1" x14ac:dyDescent="0.25">
      <x:c r="A130" s="340"/>
      <x:c r="B130" s="342" t="s">
        <x:v>413</x:v>
      </x:c>
      <x:c r="C130" s="226"/>
    </x:row>
    <x:row r="131" spans="1:3" ht="16.5" customHeight="1" x14ac:dyDescent="0.25">
      <x:c r="A131" s="340"/>
      <x:c r="B131" s="342" t="s">
        <x:v>414</x:v>
      </x:c>
      <x:c r="C131" s="226"/>
    </x:row>
    <x:row r="132" spans="1:3" ht="31.5" customHeight="1" x14ac:dyDescent="0.25">
      <x:c r="A132" s="340"/>
      <x:c r="B132" s="342" t="s">
        <x:v>415</x:v>
      </x:c>
      <x:c r="C132" s="226"/>
    </x:row>
    <x:row r="133" spans="1:3" ht="16.5" customHeight="1" x14ac:dyDescent="0.25">
      <x:c r="A133" s="340"/>
      <x:c r="B133" s="342" t="s">
        <x:v>416</x:v>
      </x:c>
      <x:c r="C133" s="226"/>
    </x:row>
    <x:row r="134" spans="1:3" ht="16.5" customHeight="1" x14ac:dyDescent="0.25">
      <x:c r="A134" s="340"/>
      <x:c r="B134" s="342" t="s">
        <x:v>417</x:v>
      </x:c>
      <x:c r="C134" s="226"/>
    </x:row>
    <x:row r="135" spans="1:3" ht="31.5" customHeight="1" x14ac:dyDescent="0.25">
      <x:c r="A135" s="340"/>
      <x:c r="B135" s="342" t="s">
        <x:v>418</x:v>
      </x:c>
      <x:c r="C135" s="226"/>
    </x:row>
    <x:row r="136" spans="1:3" ht="16.5" customHeight="1" x14ac:dyDescent="0.25">
      <x:c r="A136" s="340"/>
      <x:c r="B136" s="342" t="s">
        <x:v>419</x:v>
      </x:c>
      <x:c r="C136" s="226"/>
    </x:row>
    <x:row r="137" spans="1:3" ht="31.5" customHeight="1" x14ac:dyDescent="0.25">
      <x:c r="A137" s="340"/>
      <x:c r="B137" s="342" t="s">
        <x:v>420</x:v>
      </x:c>
      <x:c r="C137" s="226"/>
    </x:row>
    <x:row r="138" spans="1:3" ht="31.5" customHeight="1" x14ac:dyDescent="0.25">
      <x:c r="A138" s="340"/>
      <x:c r="B138" s="342" t="s">
        <x:v>421</x:v>
      </x:c>
      <x:c r="C138" s="226"/>
    </x:row>
    <x:row r="139" spans="1:3" ht="16.5" customHeight="1" x14ac:dyDescent="0.25">
      <x:c r="A139" s="340"/>
      <x:c r="B139" s="342" t="s">
        <x:v>422</x:v>
      </x:c>
      <x:c r="C139" s="226"/>
    </x:row>
    <x:row r="140" spans="1:3" ht="16.5" customHeight="1" x14ac:dyDescent="0.25">
      <x:c r="A140" s="340"/>
      <x:c r="B140" s="342" t="s">
        <x:v>423</x:v>
      </x:c>
      <x:c r="C140" s="226"/>
    </x:row>
    <x:row r="141" spans="1:3" ht="16.5" customHeight="1" x14ac:dyDescent="0.25">
      <x:c r="A141" s="340"/>
      <x:c r="B141" s="342" t="s">
        <x:v>424</x:v>
      </x:c>
      <x:c r="C141" s="226"/>
    </x:row>
    <x:row r="142" spans="1:3" ht="31.5" customHeight="1" x14ac:dyDescent="0.25">
      <x:c r="A142" s="340"/>
      <x:c r="B142" s="342" t="s">
        <x:v>425</x:v>
      </x:c>
      <x:c r="C142" s="226"/>
    </x:row>
    <x:row r="143" spans="1:3" ht="31.5" customHeight="1" x14ac:dyDescent="0.25">
      <x:c r="A143" s="340"/>
      <x:c r="B143" s="343" t="s">
        <x:v>426</x:v>
      </x:c>
      <x:c r="C143" s="227"/>
    </x:row>
    <x:row r="144" spans="1:3" ht="31.5" customHeight="1" x14ac:dyDescent="0.25">
      <x:c r="A144" s="344" t="s">
        <x:v>427</x:v>
      </x:c>
      <x:c r="B144" s="341" t="s">
        <x:v>428</x:v>
      </x:c>
      <x:c r="C144" s="231"/>
    </x:row>
    <x:row r="145" spans="1:3" ht="31.5" customHeight="1" x14ac:dyDescent="0.25">
      <x:c r="A145" s="344"/>
      <x:c r="B145" s="342" t="s">
        <x:v>429</x:v>
      </x:c>
      <x:c r="C145" s="232"/>
    </x:row>
    <x:row r="146" spans="1:3" ht="16.5" customHeight="1" x14ac:dyDescent="0.25">
      <x:c r="A146" s="344"/>
      <x:c r="B146" s="342" t="s">
        <x:v>430</x:v>
      </x:c>
      <x:c r="C146" s="232"/>
    </x:row>
    <x:row r="147" spans="1:3" ht="31.5" customHeight="1" x14ac:dyDescent="0.25">
      <x:c r="A147" s="344"/>
      <x:c r="B147" s="342" t="s">
        <x:v>431</x:v>
      </x:c>
      <x:c r="C147" s="232"/>
    </x:row>
    <x:row r="148" spans="1:3" ht="16.5" customHeight="1" x14ac:dyDescent="0.25">
      <x:c r="A148" s="344"/>
      <x:c r="B148" s="342" t="s">
        <x:v>432</x:v>
      </x:c>
      <x:c r="C148" s="232"/>
    </x:row>
    <x:row r="149" spans="1:3" ht="16.5" customHeight="1" x14ac:dyDescent="0.25">
      <x:c r="A149" s="344"/>
      <x:c r="B149" s="343" t="s">
        <x:v>433</x:v>
      </x:c>
      <x:c r="C149" s="233"/>
    </x:row>
    <x:row r="150" spans="1:3" ht="30.75" customHeight="1" x14ac:dyDescent="0.25">
      <x:c r="A150" s="345" t="s">
        <x:v>434</x:v>
      </x:c>
      <x:c r="B150" s="341" t="s">
        <x:v>435</x:v>
      </x:c>
      <x:c r="C150" s="231"/>
    </x:row>
    <x:row r="151" spans="1:3" ht="30" customHeight="1" x14ac:dyDescent="0.25">
      <x:c r="A151" s="346"/>
      <x:c r="B151" s="342" t="s">
        <x:v>436</x:v>
      </x:c>
      <x:c r="C151" s="232"/>
    </x:row>
    <x:row r="152" spans="1:3" x14ac:dyDescent="0.25">
      <x:c r="A152" s="346"/>
      <x:c r="B152" s="342" t="s">
        <x:v>437</x:v>
      </x:c>
      <x:c r="C152" s="232"/>
    </x:row>
    <x:row r="153" spans="1:3" x14ac:dyDescent="0.25">
      <x:c r="A153" s="346"/>
      <x:c r="B153" s="342" t="s">
        <x:v>438</x:v>
      </x:c>
      <x:c r="C153" s="232"/>
    </x:row>
    <x:row r="154" spans="1:3" x14ac:dyDescent="0.25">
      <x:c r="A154" s="346"/>
      <x:c r="B154" s="342" t="s">
        <x:v>439</x:v>
      </x:c>
      <x:c r="C154" s="232"/>
    </x:row>
    <x:row r="155" spans="1:3" x14ac:dyDescent="0.25">
      <x:c r="A155" s="346"/>
      <x:c r="B155" s="342" t="s">
        <x:v>440</x:v>
      </x:c>
      <x:c r="C155" s="232"/>
    </x:row>
    <x:row r="156" spans="1:3" x14ac:dyDescent="0.25">
      <x:c r="A156" s="346"/>
      <x:c r="B156" s="342" t="s">
        <x:v>441</x:v>
      </x:c>
      <x:c r="C156" s="232"/>
    </x:row>
    <x:row r="157" spans="1:3" ht="30" customHeight="1" x14ac:dyDescent="0.25">
      <x:c r="A157" s="346"/>
      <x:c r="B157" s="342" t="s">
        <x:v>442</x:v>
      </x:c>
      <x:c r="C157" s="232"/>
    </x:row>
    <x:row r="158" spans="1:3" x14ac:dyDescent="0.25">
      <x:c r="A158" s="346"/>
      <x:c r="B158" s="342" t="s">
        <x:v>443</x:v>
      </x:c>
      <x:c r="C158" s="232"/>
    </x:row>
    <x:row r="159" spans="1:3" ht="45" customHeight="1" x14ac:dyDescent="0.25">
      <x:c r="A159" s="346"/>
      <x:c r="B159" s="342" t="s">
        <x:v>444</x:v>
      </x:c>
      <x:c r="C159" s="232"/>
    </x:row>
    <x:row r="160" spans="1:3" ht="45" customHeight="1" x14ac:dyDescent="0.25">
      <x:c r="A160" s="346"/>
      <x:c r="B160" s="342" t="s">
        <x:v>445</x:v>
      </x:c>
      <x:c r="C160" s="232"/>
    </x:row>
    <x:row r="161" spans="1:3" x14ac:dyDescent="0.25">
      <x:c r="A161" s="346"/>
      <x:c r="B161" s="342" t="s">
        <x:v>446</x:v>
      </x:c>
      <x:c r="C161" s="232"/>
    </x:row>
    <x:row r="162" spans="1:3" ht="30" customHeight="1" x14ac:dyDescent="0.25">
      <x:c r="A162" s="346"/>
      <x:c r="B162" s="342" t="s">
        <x:v>447</x:v>
      </x:c>
      <x:c r="C162" s="232"/>
    </x:row>
    <x:row r="163" spans="1:3" ht="30" customHeight="1" x14ac:dyDescent="0.25">
      <x:c r="A163" s="346"/>
      <x:c r="B163" s="342" t="s">
        <x:v>448</x:v>
      </x:c>
      <x:c r="C163" s="232"/>
    </x:row>
    <x:row r="164" spans="1:3" x14ac:dyDescent="0.25">
      <x:c r="A164" s="346"/>
      <x:c r="B164" s="342" t="s">
        <x:v>449</x:v>
      </x:c>
      <x:c r="C164" s="232"/>
    </x:row>
    <x:row r="165" spans="1:3" ht="30" customHeight="1" x14ac:dyDescent="0.25">
      <x:c r="A165" s="346"/>
      <x:c r="B165" s="342" t="s">
        <x:v>450</x:v>
      </x:c>
      <x:c r="C165" s="232"/>
    </x:row>
    <x:row r="166" spans="1:3" x14ac:dyDescent="0.25">
      <x:c r="A166" s="346"/>
      <x:c r="B166" s="342" t="s">
        <x:v>451</x:v>
      </x:c>
      <x:c r="C166" s="232"/>
    </x:row>
    <x:row r="167" spans="1:3" ht="30" customHeight="1" x14ac:dyDescent="0.25">
      <x:c r="A167" s="346"/>
      <x:c r="B167" s="342" t="s">
        <x:v>452</x:v>
      </x:c>
      <x:c r="C167" s="232"/>
    </x:row>
    <x:row r="168" spans="1:3" x14ac:dyDescent="0.25">
      <x:c r="A168" s="346"/>
      <x:c r="B168" s="342" t="s">
        <x:v>453</x:v>
      </x:c>
      <x:c r="C168" s="232"/>
    </x:row>
    <x:row r="169" spans="1:3" x14ac:dyDescent="0.25">
      <x:c r="A169" s="346"/>
      <x:c r="B169" s="342" t="s">
        <x:v>454</x:v>
      </x:c>
      <x:c r="C169" s="232"/>
    </x:row>
    <x:row r="170" spans="1:3" x14ac:dyDescent="0.25">
      <x:c r="A170" s="346"/>
      <x:c r="B170" s="342" t="s">
        <x:v>455</x:v>
      </x:c>
      <x:c r="C170" s="232"/>
    </x:row>
    <x:row r="171" spans="1:3" ht="30" customHeight="1" x14ac:dyDescent="0.25">
      <x:c r="A171" s="346"/>
      <x:c r="B171" s="342" t="s">
        <x:v>456</x:v>
      </x:c>
      <x:c r="C171" s="232"/>
    </x:row>
    <x:row r="172" spans="1:3" ht="30" customHeight="1" x14ac:dyDescent="0.25">
      <x:c r="A172" s="346"/>
      <x:c r="B172" s="342" t="s">
        <x:v>457</x:v>
      </x:c>
      <x:c r="C172" s="232"/>
    </x:row>
    <x:row r="173" spans="1:3" ht="30" customHeight="1" x14ac:dyDescent="0.25">
      <x:c r="A173" s="346"/>
      <x:c r="B173" s="342" t="s">
        <x:v>458</x:v>
      </x:c>
      <x:c r="C173" s="232"/>
    </x:row>
    <x:row r="174" spans="1:3" ht="30" customHeight="1" x14ac:dyDescent="0.25">
      <x:c r="A174" s="346"/>
      <x:c r="B174" s="342" t="s">
        <x:v>459</x:v>
      </x:c>
      <x:c r="C174" s="232"/>
    </x:row>
    <x:row r="175" spans="1:3" ht="30" customHeight="1" x14ac:dyDescent="0.25">
      <x:c r="A175" s="346"/>
      <x:c r="B175" s="342" t="s">
        <x:v>460</x:v>
      </x:c>
      <x:c r="C175" s="232"/>
    </x:row>
    <x:row r="176" spans="1:3" x14ac:dyDescent="0.25">
      <x:c r="A176" s="346"/>
      <x:c r="B176" s="342" t="s">
        <x:v>461</x:v>
      </x:c>
      <x:c r="C176" s="232"/>
    </x:row>
    <x:row r="177" spans="1:3" ht="30" customHeight="1" x14ac:dyDescent="0.25">
      <x:c r="A177" s="346"/>
      <x:c r="B177" s="342" t="s">
        <x:v>462</x:v>
      </x:c>
      <x:c r="C177" s="232"/>
    </x:row>
    <x:row r="178" spans="1:3" x14ac:dyDescent="0.25">
      <x:c r="A178" s="346"/>
      <x:c r="B178" s="342" t="s">
        <x:v>463</x:v>
      </x:c>
      <x:c r="C178" s="232"/>
    </x:row>
    <x:row r="179" spans="1:3" ht="30" customHeight="1" x14ac:dyDescent="0.25">
      <x:c r="A179" s="346"/>
      <x:c r="B179" s="342" t="s">
        <x:v>464</x:v>
      </x:c>
      <x:c r="C179" s="232"/>
    </x:row>
    <x:row r="180" spans="1:3" ht="30" customHeight="1" x14ac:dyDescent="0.25">
      <x:c r="A180" s="346"/>
      <x:c r="B180" s="342" t="s">
        <x:v>465</x:v>
      </x:c>
      <x:c r="C180" s="232"/>
    </x:row>
    <x:row r="181" spans="1:3" ht="30" customHeight="1" x14ac:dyDescent="0.25">
      <x:c r="A181" s="346"/>
      <x:c r="B181" s="342" t="s">
        <x:v>466</x:v>
      </x:c>
      <x:c r="C181" s="232"/>
    </x:row>
    <x:row r="182" spans="1:3" ht="30" customHeight="1" x14ac:dyDescent="0.25">
      <x:c r="A182" s="346"/>
      <x:c r="B182" s="342" t="s">
        <x:v>467</x:v>
      </x:c>
      <x:c r="C182" s="232"/>
    </x:row>
    <x:row r="183" spans="1:3" ht="30" customHeight="1" x14ac:dyDescent="0.25">
      <x:c r="A183" s="346"/>
      <x:c r="B183" s="342" t="s">
        <x:v>468</x:v>
      </x:c>
      <x:c r="C183" s="232"/>
    </x:row>
    <x:row r="184" spans="1:3" x14ac:dyDescent="0.25">
      <x:c r="A184" s="346"/>
      <x:c r="B184" s="342" t="s">
        <x:v>469</x:v>
      </x:c>
      <x:c r="C184" s="232"/>
    </x:row>
    <x:row r="185" spans="1:3" x14ac:dyDescent="0.25">
      <x:c r="A185" s="346"/>
      <x:c r="B185" s="342" t="s">
        <x:v>470</x:v>
      </x:c>
      <x:c r="C185" s="232"/>
    </x:row>
    <x:row r="186" spans="1:3" ht="30" customHeight="1" x14ac:dyDescent="0.25">
      <x:c r="A186" s="346"/>
      <x:c r="B186" s="342" t="s">
        <x:v>471</x:v>
      </x:c>
      <x:c r="C186" s="232"/>
    </x:row>
    <x:row r="187" spans="1:3" ht="30" customHeight="1" x14ac:dyDescent="0.25">
      <x:c r="A187" s="346"/>
      <x:c r="B187" s="342" t="s">
        <x:v>472</x:v>
      </x:c>
      <x:c r="C187" s="232"/>
    </x:row>
    <x:row r="188" spans="1:3" ht="30" customHeight="1" x14ac:dyDescent="0.25">
      <x:c r="A188" s="346"/>
      <x:c r="B188" s="342" t="s">
        <x:v>473</x:v>
      </x:c>
      <x:c r="C188" s="232"/>
    </x:row>
    <x:row r="189" spans="1:3" ht="30" customHeight="1" x14ac:dyDescent="0.25">
      <x:c r="A189" s="346"/>
      <x:c r="B189" s="342" t="s">
        <x:v>474</x:v>
      </x:c>
      <x:c r="C189" s="232"/>
    </x:row>
    <x:row r="190" spans="1:3" ht="30" customHeight="1" x14ac:dyDescent="0.25">
      <x:c r="A190" s="346"/>
      <x:c r="B190" s="342" t="s">
        <x:v>475</x:v>
      </x:c>
      <x:c r="C190" s="232"/>
    </x:row>
    <x:row r="191" spans="1:3" x14ac:dyDescent="0.25">
      <x:c r="A191" s="346"/>
      <x:c r="B191" s="342" t="s">
        <x:v>476</x:v>
      </x:c>
      <x:c r="C191" s="232"/>
    </x:row>
    <x:row r="192" spans="1:3" x14ac:dyDescent="0.25">
      <x:c r="A192" s="346"/>
      <x:c r="B192" s="342" t="s">
        <x:v>477</x:v>
      </x:c>
      <x:c r="C192" s="232"/>
    </x:row>
    <x:row r="193" spans="1:3" ht="45" customHeight="1" x14ac:dyDescent="0.25">
      <x:c r="A193" s="346"/>
      <x:c r="B193" s="342" t="s">
        <x:v>478</x:v>
      </x:c>
      <x:c r="C193" s="232"/>
    </x:row>
    <x:row r="194" spans="1:3" ht="30" customHeight="1" x14ac:dyDescent="0.25">
      <x:c r="A194" s="346"/>
      <x:c r="B194" s="342" t="s">
        <x:v>479</x:v>
      </x:c>
      <x:c r="C194" s="232"/>
    </x:row>
    <x:row r="195" spans="1:3" ht="30" customHeight="1" x14ac:dyDescent="0.25">
      <x:c r="A195" s="346"/>
      <x:c r="B195" s="342" t="s">
        <x:v>480</x:v>
      </x:c>
      <x:c r="C195" s="232"/>
    </x:row>
    <x:row r="196" spans="1:3" ht="30" customHeight="1" x14ac:dyDescent="0.25">
      <x:c r="A196" s="346"/>
      <x:c r="B196" s="342" t="s">
        <x:v>481</x:v>
      </x:c>
      <x:c r="C196" s="232"/>
    </x:row>
    <x:row r="197" spans="1:3" x14ac:dyDescent="0.25">
      <x:c r="A197" s="346"/>
      <x:c r="B197" s="342" t="s">
        <x:v>482</x:v>
      </x:c>
      <x:c r="C197" s="232"/>
    </x:row>
    <x:row r="198" spans="1:3" x14ac:dyDescent="0.25">
      <x:c r="A198" s="346"/>
      <x:c r="B198" s="342" t="s">
        <x:v>483</x:v>
      </x:c>
      <x:c r="C198" s="232"/>
    </x:row>
    <x:row r="199" spans="1:3" ht="30" customHeight="1" x14ac:dyDescent="0.25">
      <x:c r="A199" s="346"/>
      <x:c r="B199" s="342" t="s">
        <x:v>484</x:v>
      </x:c>
      <x:c r="C199" s="232"/>
    </x:row>
    <x:row r="200" spans="1:3" ht="30" customHeight="1" x14ac:dyDescent="0.25">
      <x:c r="A200" s="346"/>
      <x:c r="B200" s="342" t="s">
        <x:v>485</x:v>
      </x:c>
      <x:c r="C200" s="232"/>
    </x:row>
    <x:row r="201" spans="1:3" ht="30" customHeight="1" x14ac:dyDescent="0.25">
      <x:c r="A201" s="346"/>
      <x:c r="B201" s="342" t="s">
        <x:v>486</x:v>
      </x:c>
      <x:c r="C201" s="232"/>
    </x:row>
    <x:row r="202" spans="1:3" ht="30" customHeight="1" x14ac:dyDescent="0.25">
      <x:c r="A202" s="346"/>
      <x:c r="B202" s="342" t="s">
        <x:v>487</x:v>
      </x:c>
      <x:c r="C202" s="232"/>
    </x:row>
    <x:row r="203" spans="1:3" ht="30" customHeight="1" x14ac:dyDescent="0.25">
      <x:c r="A203" s="346"/>
      <x:c r="B203" s="342" t="s">
        <x:v>488</x:v>
      </x:c>
      <x:c r="C203" s="232"/>
    </x:row>
    <x:row r="204" spans="1:3" ht="45" customHeight="1" x14ac:dyDescent="0.25">
      <x:c r="A204" s="346"/>
      <x:c r="B204" s="342" t="s">
        <x:v>489</x:v>
      </x:c>
      <x:c r="C204" s="232"/>
    </x:row>
    <x:row r="205" spans="1:3" x14ac:dyDescent="0.25">
      <x:c r="A205" s="346"/>
      <x:c r="B205" s="342" t="s">
        <x:v>490</x:v>
      </x:c>
      <x:c r="C205" s="232"/>
    </x:row>
    <x:row r="206" spans="1:3" ht="30" customHeight="1" x14ac:dyDescent="0.25">
      <x:c r="A206" s="346"/>
      <x:c r="B206" s="342" t="s">
        <x:v>491</x:v>
      </x:c>
      <x:c r="C206" s="232"/>
    </x:row>
    <x:row r="207" spans="1:3" ht="30" customHeight="1" x14ac:dyDescent="0.25">
      <x:c r="A207" s="346"/>
      <x:c r="B207" s="342" t="s">
        <x:v>492</x:v>
      </x:c>
      <x:c r="C207" s="232"/>
    </x:row>
    <x:row r="208" spans="1:3" ht="30" customHeight="1" x14ac:dyDescent="0.25">
      <x:c r="A208" s="346"/>
      <x:c r="B208" s="342" t="s">
        <x:v>493</x:v>
      </x:c>
      <x:c r="C208" s="232"/>
    </x:row>
    <x:row r="209" spans="1:3" ht="30.75" customHeight="1" x14ac:dyDescent="0.25">
      <x:c r="A209" s="347"/>
      <x:c r="B209" s="343" t="s">
        <x:v>494</x:v>
      </x:c>
      <x:c r="C209" s="233"/>
    </x:row>
    <x:row r="210" spans="1:3" ht="15.75" customHeight="1" x14ac:dyDescent="0.25">
      <x:c r="A210" s="348" t="s">
        <x:v>495</x:v>
      </x:c>
      <x:c r="B210" s="331" t="s">
        <x:v>496</x:v>
      </x:c>
      <x:c r="C210" s="225" t="s">
        <x:v>497</x:v>
      </x:c>
    </x:row>
    <x:row r="211" spans="1:3" x14ac:dyDescent="0.25">
      <x:c r="A211" s="349"/>
      <x:c r="B211" s="332" t="s">
        <x:v>498</x:v>
      </x:c>
      <x:c r="C211" s="226"/>
    </x:row>
    <x:row r="212" spans="1:3" ht="30" customHeight="1" x14ac:dyDescent="0.25">
      <x:c r="A212" s="349"/>
      <x:c r="B212" s="332" t="s">
        <x:v>499</x:v>
      </x:c>
      <x:c r="C212" s="226"/>
    </x:row>
    <x:row r="213" spans="1:3" ht="30" customHeight="1" x14ac:dyDescent="0.25">
      <x:c r="A213" s="349"/>
      <x:c r="B213" s="332" t="s">
        <x:v>500</x:v>
      </x:c>
      <x:c r="C213" s="236" t="s">
        <x:v>501</x:v>
      </x:c>
    </x:row>
    <x:row r="214" spans="1:3" ht="30" customHeight="1" x14ac:dyDescent="0.25">
      <x:c r="A214" s="349"/>
      <x:c r="B214" s="332" t="s">
        <x:v>502</x:v>
      </x:c>
      <x:c r="C214" s="236"/>
    </x:row>
    <x:row r="215" spans="1:3" x14ac:dyDescent="0.25">
      <x:c r="A215" s="349"/>
      <x:c r="B215" s="332" t="s">
        <x:v>503</x:v>
      </x:c>
      <x:c r="C215" s="236"/>
    </x:row>
    <x:row r="216" spans="1:3" x14ac:dyDescent="0.25">
      <x:c r="A216" s="349"/>
      <x:c r="B216" s="332" t="s">
        <x:v>504</x:v>
      </x:c>
      <x:c r="C216" s="236"/>
    </x:row>
    <x:row r="217" spans="1:3" x14ac:dyDescent="0.25">
      <x:c r="A217" s="349"/>
      <x:c r="B217" s="332" t="s">
        <x:v>505</x:v>
      </x:c>
      <x:c r="C217" s="232"/>
    </x:row>
    <x:row r="218" spans="1:3" x14ac:dyDescent="0.25">
      <x:c r="A218" s="349"/>
      <x:c r="B218" s="332" t="s">
        <x:v>506</x:v>
      </x:c>
      <x:c r="C218" s="232"/>
    </x:row>
    <x:row r="219" spans="1:3" ht="30" customHeight="1" x14ac:dyDescent="0.25">
      <x:c r="A219" s="349"/>
      <x:c r="B219" s="332" t="s">
        <x:v>292</x:v>
      </x:c>
      <x:c r="C219" s="232"/>
    </x:row>
    <x:row r="220" spans="1:3" ht="30" customHeight="1" x14ac:dyDescent="0.25">
      <x:c r="A220" s="349"/>
      <x:c r="B220" s="332" t="s">
        <x:v>507</x:v>
      </x:c>
      <x:c r="C220" s="232"/>
    </x:row>
    <x:row r="221" spans="1:3" ht="30" customHeight="1" x14ac:dyDescent="0.25">
      <x:c r="A221" s="349"/>
      <x:c r="B221" s="332" t="s">
        <x:v>508</x:v>
      </x:c>
      <x:c r="C221" s="232"/>
    </x:row>
    <x:row r="222" spans="1:3" x14ac:dyDescent="0.25">
      <x:c r="A222" s="349"/>
      <x:c r="B222" s="332" t="s">
        <x:v>509</x:v>
      </x:c>
      <x:c r="C222" s="232"/>
    </x:row>
    <x:row r="223" spans="1:3" x14ac:dyDescent="0.25">
      <x:c r="A223" s="349"/>
      <x:c r="B223" s="332" t="s">
        <x:v>510</x:v>
      </x:c>
      <x:c r="C223" s="232"/>
    </x:row>
    <x:row r="224" spans="1:3" x14ac:dyDescent="0.25">
      <x:c r="A224" s="349"/>
      <x:c r="B224" s="332" t="s">
        <x:v>511</x:v>
      </x:c>
      <x:c r="C224" s="232"/>
    </x:row>
    <x:row r="225" spans="1:3" ht="30" customHeight="1" x14ac:dyDescent="0.25">
      <x:c r="A225" s="349"/>
      <x:c r="B225" s="332" t="s">
        <x:v>512</x:v>
      </x:c>
      <x:c r="C225" s="232"/>
    </x:row>
    <x:row r="226" spans="1:3" ht="30" customHeight="1" x14ac:dyDescent="0.25">
      <x:c r="A226" s="349"/>
      <x:c r="B226" s="332" t="s">
        <x:v>513</x:v>
      </x:c>
      <x:c r="C226" s="232"/>
    </x:row>
    <x:row r="227" spans="1:3" ht="30" customHeight="1" x14ac:dyDescent="0.25">
      <x:c r="A227" s="349"/>
      <x:c r="B227" s="332" t="s">
        <x:v>514</x:v>
      </x:c>
      <x:c r="C227" s="232"/>
    </x:row>
    <x:row r="228" spans="1:3" x14ac:dyDescent="0.25">
      <x:c r="A228" s="349"/>
      <x:c r="B228" s="332" t="s">
        <x:v>515</x:v>
      </x:c>
      <x:c r="C228" s="232"/>
    </x:row>
    <x:row r="229" spans="1:3" ht="30" customHeight="1" x14ac:dyDescent="0.25">
      <x:c r="A229" s="349"/>
      <x:c r="B229" s="332" t="s">
        <x:v>516</x:v>
      </x:c>
      <x:c r="C229" s="232"/>
    </x:row>
    <x:row r="230" spans="1:3" ht="30" customHeight="1" x14ac:dyDescent="0.25">
      <x:c r="A230" s="349"/>
      <x:c r="B230" s="332" t="s">
        <x:v>517</x:v>
      </x:c>
      <x:c r="C230" s="232"/>
    </x:row>
    <x:row r="231" spans="1:3" ht="45" customHeight="1" x14ac:dyDescent="0.25">
      <x:c r="A231" s="349"/>
      <x:c r="B231" s="332" t="s">
        <x:v>518</x:v>
      </x:c>
      <x:c r="C231" s="232"/>
    </x:row>
    <x:row r="232" spans="1:3" ht="30" customHeight="1" x14ac:dyDescent="0.25">
      <x:c r="A232" s="349"/>
      <x:c r="B232" s="332" t="s">
        <x:v>519</x:v>
      </x:c>
      <x:c r="C232" s="232"/>
    </x:row>
    <x:row r="233" spans="1:3" x14ac:dyDescent="0.25">
      <x:c r="A233" s="349"/>
      <x:c r="B233" s="332" t="s">
        <x:v>520</x:v>
      </x:c>
      <x:c r="C233" s="232"/>
    </x:row>
    <x:row r="234" spans="1:3" x14ac:dyDescent="0.25">
      <x:c r="A234" s="349"/>
      <x:c r="B234" s="332" t="s">
        <x:v>521</x:v>
      </x:c>
      <x:c r="C234" s="232"/>
    </x:row>
    <x:row r="235" spans="1:3" ht="30" customHeight="1" x14ac:dyDescent="0.25">
      <x:c r="A235" s="349"/>
      <x:c r="B235" s="332" t="s">
        <x:v>522</x:v>
      </x:c>
      <x:c r="C235" s="232"/>
    </x:row>
    <x:row r="236" spans="1:3" ht="45" customHeight="1" x14ac:dyDescent="0.25">
      <x:c r="A236" s="349"/>
      <x:c r="B236" s="332" t="s">
        <x:v>523</x:v>
      </x:c>
      <x:c r="C236" s="232"/>
    </x:row>
    <x:row r="237" spans="1:3" ht="30" customHeight="1" x14ac:dyDescent="0.25">
      <x:c r="A237" s="349"/>
      <x:c r="B237" s="332" t="s">
        <x:v>524</x:v>
      </x:c>
      <x:c r="C237" s="232"/>
    </x:row>
    <x:row r="238" spans="1:3" ht="45" customHeight="1" x14ac:dyDescent="0.25">
      <x:c r="A238" s="349"/>
      <x:c r="B238" s="332" t="s">
        <x:v>525</x:v>
      </x:c>
      <x:c r="C238" s="232"/>
    </x:row>
    <x:row r="239" spans="1:3" x14ac:dyDescent="0.25">
      <x:c r="A239" s="349"/>
      <x:c r="B239" s="332" t="s">
        <x:v>526</x:v>
      </x:c>
      <x:c r="C239" s="232"/>
    </x:row>
    <x:row r="240" spans="1:3" x14ac:dyDescent="0.25">
      <x:c r="A240" s="349"/>
      <x:c r="B240" s="332" t="s">
        <x:v>527</x:v>
      </x:c>
      <x:c r="C240" s="232"/>
    </x:row>
    <x:row r="241" spans="1:3" x14ac:dyDescent="0.25">
      <x:c r="A241" s="349"/>
      <x:c r="B241" s="332" t="s">
        <x:v>528</x:v>
      </x:c>
      <x:c r="C241" s="232"/>
    </x:row>
    <x:row r="242" spans="1:3" ht="30" customHeight="1" x14ac:dyDescent="0.25">
      <x:c r="A242" s="349"/>
      <x:c r="B242" s="332" t="s">
        <x:v>529</x:v>
      </x:c>
      <x:c r="C242" s="232"/>
    </x:row>
    <x:row r="243" spans="1:3" x14ac:dyDescent="0.25">
      <x:c r="A243" s="349"/>
      <x:c r="B243" s="332" t="s">
        <x:v>530</x:v>
      </x:c>
      <x:c r="C243" s="236" t="s">
        <x:v>531</x:v>
      </x:c>
    </x:row>
    <x:row r="244" spans="1:3" x14ac:dyDescent="0.25">
      <x:c r="A244" s="349"/>
      <x:c r="B244" s="332" t="s">
        <x:v>532</x:v>
      </x:c>
      <x:c r="C244" s="236"/>
    </x:row>
    <x:row r="245" spans="1:3" x14ac:dyDescent="0.25">
      <x:c r="A245" s="349"/>
      <x:c r="B245" s="332" t="s">
        <x:v>533</x:v>
      </x:c>
      <x:c r="C245" s="236"/>
    </x:row>
    <x:row r="246" spans="1:3" ht="45" customHeight="1" x14ac:dyDescent="0.25">
      <x:c r="A246" s="349"/>
      <x:c r="B246" s="332" t="s">
        <x:v>534</x:v>
      </x:c>
      <x:c r="C246" s="19"/>
    </x:row>
    <x:row r="247" spans="1:3" x14ac:dyDescent="0.25">
      <x:c r="A247" s="349"/>
      <x:c r="B247" s="332" t="s">
        <x:v>535</x:v>
      </x:c>
      <x:c r="C247" s="236" t="s">
        <x:v>536</x:v>
      </x:c>
    </x:row>
    <x:row r="248" spans="1:3" x14ac:dyDescent="0.25">
      <x:c r="A248" s="349"/>
      <x:c r="B248" s="332" t="s">
        <x:v>537</x:v>
      </x:c>
      <x:c r="C248" s="236"/>
    </x:row>
    <x:row r="249" spans="1:3" x14ac:dyDescent="0.25">
      <x:c r="A249" s="349"/>
      <x:c r="B249" s="332" t="s">
        <x:v>538</x:v>
      </x:c>
      <x:c r="C249" s="236"/>
    </x:row>
    <x:row r="250" spans="1:3" x14ac:dyDescent="0.25">
      <x:c r="A250" s="349"/>
      <x:c r="B250" s="332" t="s">
        <x:v>539</x:v>
      </x:c>
      <x:c r="C250" s="236"/>
    </x:row>
    <x:row r="251" spans="1:3" x14ac:dyDescent="0.25">
      <x:c r="A251" s="349"/>
      <x:c r="B251" s="332" t="s">
        <x:v>540</x:v>
      </x:c>
      <x:c r="C251" s="236"/>
    </x:row>
    <x:row r="252" spans="1:3" x14ac:dyDescent="0.25">
      <x:c r="A252" s="349"/>
      <x:c r="B252" s="332" t="s">
        <x:v>541</x:v>
      </x:c>
      <x:c r="C252" s="236"/>
    </x:row>
    <x:row r="253" spans="1:3" x14ac:dyDescent="0.25">
      <x:c r="A253" s="349"/>
      <x:c r="B253" s="332" t="s">
        <x:v>542</x:v>
      </x:c>
      <x:c r="C253" s="236"/>
    </x:row>
    <x:row r="254" spans="1:3" ht="30" customHeight="1" x14ac:dyDescent="0.25">
      <x:c r="A254" s="349"/>
      <x:c r="B254" s="332" t="s">
        <x:v>543</x:v>
      </x:c>
      <x:c r="C254" s="236"/>
    </x:row>
    <x:row r="255" spans="1:3" x14ac:dyDescent="0.25">
      <x:c r="A255" s="349"/>
      <x:c r="B255" s="332" t="s">
        <x:v>544</x:v>
      </x:c>
      <x:c r="C255" s="236"/>
    </x:row>
    <x:row r="256" spans="1:3" x14ac:dyDescent="0.25">
      <x:c r="A256" s="349"/>
      <x:c r="B256" s="332" t="s">
        <x:v>545</x:v>
      </x:c>
      <x:c r="C256" s="236"/>
    </x:row>
    <x:row r="257" spans="1:3" x14ac:dyDescent="0.25">
      <x:c r="A257" s="349"/>
      <x:c r="B257" s="332" t="s">
        <x:v>546</x:v>
      </x:c>
      <x:c r="C257" s="236"/>
    </x:row>
    <x:row r="258" spans="1:3" x14ac:dyDescent="0.25">
      <x:c r="A258" s="349"/>
      <x:c r="B258" s="332" t="s">
        <x:v>547</x:v>
      </x:c>
      <x:c r="C258" s="236"/>
    </x:row>
    <x:row r="259" spans="1:3" x14ac:dyDescent="0.25">
      <x:c r="A259" s="349"/>
      <x:c r="B259" s="332" t="s">
        <x:v>548</x:v>
      </x:c>
      <x:c r="C259" s="226" t="s">
        <x:v>549</x:v>
      </x:c>
    </x:row>
    <x:row r="260" spans="1:3" ht="30" customHeight="1" x14ac:dyDescent="0.25">
      <x:c r="A260" s="349"/>
      <x:c r="B260" s="332" t="s">
        <x:v>550</x:v>
      </x:c>
      <x:c r="C260" s="226"/>
    </x:row>
    <x:row r="261" spans="1:3" ht="30" customHeight="1" x14ac:dyDescent="0.25">
      <x:c r="A261" s="349"/>
      <x:c r="B261" s="332" t="s">
        <x:v>551</x:v>
      </x:c>
      <x:c r="C261" s="226"/>
    </x:row>
    <x:row r="262" spans="1:3" x14ac:dyDescent="0.25">
      <x:c r="A262" s="349"/>
      <x:c r="B262" s="332" t="s">
        <x:v>549</x:v>
      </x:c>
      <x:c r="C262" s="226"/>
    </x:row>
    <x:row r="263" spans="1:3" x14ac:dyDescent="0.25">
      <x:c r="A263" s="349"/>
      <x:c r="B263" s="332" t="s">
        <x:v>552</x:v>
      </x:c>
      <x:c r="C263" s="232"/>
    </x:row>
    <x:row r="264" spans="1:3" x14ac:dyDescent="0.25">
      <x:c r="A264" s="349"/>
      <x:c r="B264" s="332" t="s">
        <x:v>553</x:v>
      </x:c>
      <x:c r="C264" s="232"/>
    </x:row>
    <x:row r="265" spans="1:3" ht="30" customHeight="1" x14ac:dyDescent="0.25">
      <x:c r="A265" s="349"/>
      <x:c r="B265" s="332" t="s">
        <x:v>554</x:v>
      </x:c>
      <x:c r="C265" s="232"/>
    </x:row>
    <x:row r="266" spans="1:3" ht="30" customHeight="1" x14ac:dyDescent="0.25">
      <x:c r="A266" s="349"/>
      <x:c r="B266" s="332" t="s">
        <x:v>555</x:v>
      </x:c>
      <x:c r="C266" s="232"/>
    </x:row>
    <x:row r="267" spans="1:3" x14ac:dyDescent="0.25">
      <x:c r="A267" s="349"/>
      <x:c r="B267" s="332" t="s">
        <x:v>556</x:v>
      </x:c>
      <x:c r="C267" s="232"/>
    </x:row>
    <x:row r="268" spans="1:3" x14ac:dyDescent="0.25">
      <x:c r="A268" s="349"/>
      <x:c r="B268" s="332" t="s">
        <x:v>557</x:v>
      </x:c>
      <x:c r="C268" s="232"/>
    </x:row>
    <x:row r="269" spans="1:3" ht="30" customHeight="1" x14ac:dyDescent="0.25">
      <x:c r="A269" s="349"/>
      <x:c r="B269" s="332" t="s">
        <x:v>558</x:v>
      </x:c>
      <x:c r="C269" s="232"/>
    </x:row>
    <x:row r="270" spans="1:3" x14ac:dyDescent="0.25">
      <x:c r="A270" s="349"/>
      <x:c r="B270" s="332" t="s">
        <x:v>559</x:v>
      </x:c>
      <x:c r="C270" s="232"/>
    </x:row>
    <x:row r="271" spans="1:3" x14ac:dyDescent="0.25">
      <x:c r="A271" s="349"/>
      <x:c r="B271" s="332" t="s">
        <x:v>560</x:v>
      </x:c>
      <x:c r="C271" s="226" t="s">
        <x:v>561</x:v>
      </x:c>
    </x:row>
    <x:row r="272" spans="1:3" ht="30" customHeight="1" x14ac:dyDescent="0.25">
      <x:c r="A272" s="349"/>
      <x:c r="B272" s="332" t="s">
        <x:v>562</x:v>
      </x:c>
      <x:c r="C272" s="226"/>
    </x:row>
    <x:row r="273" spans="1:3" ht="30" customHeight="1" x14ac:dyDescent="0.25">
      <x:c r="A273" s="349"/>
      <x:c r="B273" s="332" t="s">
        <x:v>563</x:v>
      </x:c>
      <x:c r="C273" s="226"/>
    </x:row>
    <x:row r="274" spans="1:3" x14ac:dyDescent="0.25">
      <x:c r="A274" s="349"/>
      <x:c r="B274" s="332" t="s">
        <x:v>564</x:v>
      </x:c>
      <x:c r="C274" s="226"/>
    </x:row>
    <x:row r="275" spans="1:3" ht="30" customHeight="1" x14ac:dyDescent="0.25">
      <x:c r="A275" s="349"/>
      <x:c r="B275" s="332" t="s">
        <x:v>565</x:v>
      </x:c>
      <x:c r="C275" s="236" t="s">
        <x:v>566</x:v>
      </x:c>
    </x:row>
    <x:row r="276" spans="1:3" x14ac:dyDescent="0.25">
      <x:c r="A276" s="349"/>
      <x:c r="B276" s="332" t="s">
        <x:v>567</x:v>
      </x:c>
      <x:c r="C276" s="236"/>
    </x:row>
    <x:row r="277" spans="1:3" ht="30" customHeight="1" x14ac:dyDescent="0.25">
      <x:c r="A277" s="349"/>
      <x:c r="B277" s="332" t="s">
        <x:v>568</x:v>
      </x:c>
      <x:c r="C277" s="236"/>
    </x:row>
    <x:row r="278" spans="1:3" x14ac:dyDescent="0.25">
      <x:c r="A278" s="349"/>
      <x:c r="B278" s="332" t="s">
        <x:v>569</x:v>
      </x:c>
      <x:c r="C278" s="236"/>
    </x:row>
    <x:row r="279" spans="1:3" x14ac:dyDescent="0.25">
      <x:c r="A279" s="349"/>
      <x:c r="B279" s="332" t="s">
        <x:v>570</x:v>
      </x:c>
      <x:c r="C279" s="236" t="s">
        <x:v>571</x:v>
      </x:c>
    </x:row>
    <x:row r="280" spans="1:3" x14ac:dyDescent="0.25">
      <x:c r="A280" s="349"/>
      <x:c r="B280" s="332" t="s">
        <x:v>572</x:v>
      </x:c>
      <x:c r="C280" s="236"/>
    </x:row>
    <x:row r="281" spans="1:3" x14ac:dyDescent="0.25">
      <x:c r="A281" s="349"/>
      <x:c r="B281" s="332" t="s">
        <x:v>573</x:v>
      </x:c>
      <x:c r="C281" s="236"/>
    </x:row>
    <x:row r="282" spans="1:3" x14ac:dyDescent="0.25">
      <x:c r="A282" s="349"/>
      <x:c r="B282" s="332" t="s">
        <x:v>574</x:v>
      </x:c>
      <x:c r="C282" s="236"/>
    </x:row>
    <x:row r="283" spans="1:3" x14ac:dyDescent="0.25">
      <x:c r="A283" s="349"/>
      <x:c r="B283" s="332" t="s">
        <x:v>575</x:v>
      </x:c>
      <x:c r="C283" s="236"/>
    </x:row>
    <x:row r="284" spans="1:3" x14ac:dyDescent="0.25">
      <x:c r="A284" s="349"/>
      <x:c r="B284" s="332" t="s">
        <x:v>576</x:v>
      </x:c>
      <x:c r="C284" s="236"/>
    </x:row>
    <x:row r="285" spans="1:3" x14ac:dyDescent="0.25">
      <x:c r="A285" s="349"/>
      <x:c r="B285" s="332" t="s">
        <x:v>577</x:v>
      </x:c>
      <x:c r="C285" s="236"/>
    </x:row>
    <x:row r="286" spans="1:3" x14ac:dyDescent="0.25">
      <x:c r="A286" s="349"/>
      <x:c r="B286" s="332" t="s">
        <x:v>578</x:v>
      </x:c>
      <x:c r="C286" s="236"/>
    </x:row>
    <x:row r="287" spans="1:3" ht="30" customHeight="1" x14ac:dyDescent="0.25">
      <x:c r="A287" s="349"/>
      <x:c r="B287" s="332" t="s">
        <x:v>579</x:v>
      </x:c>
      <x:c r="C287" s="236"/>
    </x:row>
    <x:row r="288" spans="1:3" ht="30" customHeight="1" x14ac:dyDescent="0.25">
      <x:c r="A288" s="349"/>
      <x:c r="B288" s="332" t="s">
        <x:v>580</x:v>
      </x:c>
      <x:c r="C288" s="236"/>
    </x:row>
    <x:row r="289" spans="1:3" ht="45" customHeight="1" x14ac:dyDescent="0.25">
      <x:c r="A289" s="349"/>
      <x:c r="B289" s="332" t="s">
        <x:v>581</x:v>
      </x:c>
      <x:c r="C289" s="236"/>
    </x:row>
    <x:row r="290" spans="1:3" ht="30" customHeight="1" x14ac:dyDescent="0.25">
      <x:c r="A290" s="349"/>
      <x:c r="B290" s="332" t="s">
        <x:v>582</x:v>
      </x:c>
      <x:c r="C290" s="226" t="s">
        <x:v>583</x:v>
      </x:c>
    </x:row>
    <x:row r="291" spans="1:3" ht="30" customHeight="1" x14ac:dyDescent="0.25">
      <x:c r="A291" s="349"/>
      <x:c r="B291" s="332" t="s">
        <x:v>584</x:v>
      </x:c>
      <x:c r="C291" s="226"/>
    </x:row>
    <x:row r="292" spans="1:3" x14ac:dyDescent="0.25">
      <x:c r="A292" s="349"/>
      <x:c r="B292" s="332" t="s">
        <x:v>585</x:v>
      </x:c>
      <x:c r="C292" s="226"/>
    </x:row>
    <x:row r="293" spans="1:3" x14ac:dyDescent="0.25">
      <x:c r="A293" s="349"/>
      <x:c r="B293" s="332" t="s">
        <x:v>586</x:v>
      </x:c>
      <x:c r="C293" s="226"/>
    </x:row>
    <x:row r="294" spans="1:3" x14ac:dyDescent="0.25">
      <x:c r="A294" s="349"/>
      <x:c r="B294" s="332" t="s">
        <x:v>587</x:v>
      </x:c>
      <x:c r="C294" s="226"/>
    </x:row>
    <x:row r="295" spans="1:3" ht="30" customHeight="1" x14ac:dyDescent="0.25">
      <x:c r="A295" s="349"/>
      <x:c r="B295" s="332" t="s">
        <x:v>588</x:v>
      </x:c>
      <x:c r="C295" s="226"/>
    </x:row>
    <x:row r="296" spans="1:3" ht="30" customHeight="1" x14ac:dyDescent="0.25">
      <x:c r="A296" s="349"/>
      <x:c r="B296" s="332" t="s">
        <x:v>589</x:v>
      </x:c>
      <x:c r="C296" s="226"/>
    </x:row>
    <x:row r="297" spans="1:3" ht="30" customHeight="1" x14ac:dyDescent="0.25">
      <x:c r="A297" s="349"/>
      <x:c r="B297" s="332" t="s">
        <x:v>590</x:v>
      </x:c>
      <x:c r="C297" s="232"/>
    </x:row>
    <x:row r="298" spans="1:3" x14ac:dyDescent="0.25">
      <x:c r="A298" s="349"/>
      <x:c r="B298" s="332" t="s">
        <x:v>591</x:v>
      </x:c>
      <x:c r="C298" s="232"/>
    </x:row>
    <x:row r="299" spans="1:3" ht="45.75" customHeight="1" x14ac:dyDescent="0.25">
      <x:c r="A299" s="350"/>
      <x:c r="B299" s="333" t="s">
        <x:v>592</x:v>
      </x:c>
      <x:c r="C299" s="233"/>
    </x:row>
    <x:row r="300" spans="1:3" ht="45.75" customHeight="1" x14ac:dyDescent="0.25">
      <x:c r="A300" s="351" t="s">
        <x:v>593</x:v>
      </x:c>
      <x:c r="B300" s="352" t="s">
        <x:v>594</x:v>
      </x:c>
      <x:c r="C300" s="235" t="s">
        <x:v>595</x:v>
      </x:c>
    </x:row>
    <x:row r="301" spans="1:3" ht="45" customHeight="1" x14ac:dyDescent="0.25">
      <x:c r="A301" s="353"/>
      <x:c r="B301" s="354" t="s">
        <x:v>596</x:v>
      </x:c>
      <x:c r="C301" s="236"/>
    </x:row>
    <x:row r="302" spans="1:3" ht="60" customHeight="1" x14ac:dyDescent="0.25">
      <x:c r="A302" s="353"/>
      <x:c r="B302" s="354" t="s">
        <x:v>597</x:v>
      </x:c>
      <x:c r="C302" s="236"/>
    </x:row>
    <x:row r="303" spans="1:3" ht="45" customHeight="1" x14ac:dyDescent="0.25">
      <x:c r="A303" s="353"/>
      <x:c r="B303" s="354" t="s">
        <x:v>598</x:v>
      </x:c>
      <x:c r="C303" s="236" t="s">
        <x:v>599</x:v>
      </x:c>
    </x:row>
    <x:row r="304" spans="1:3" ht="60" customHeight="1" x14ac:dyDescent="0.25">
      <x:c r="A304" s="353"/>
      <x:c r="B304" s="354" t="s">
        <x:v>600</x:v>
      </x:c>
      <x:c r="C304" s="236"/>
    </x:row>
    <x:row r="305" spans="1:3" ht="60" customHeight="1" x14ac:dyDescent="0.25">
      <x:c r="A305" s="353"/>
      <x:c r="B305" s="354" t="s">
        <x:v>601</x:v>
      </x:c>
      <x:c r="C305" s="236" t="s">
        <x:v>602</x:v>
      </x:c>
    </x:row>
    <x:row r="306" spans="1:3" ht="45" customHeight="1" x14ac:dyDescent="0.25">
      <x:c r="A306" s="353"/>
      <x:c r="B306" s="354" t="s">
        <x:v>603</x:v>
      </x:c>
      <x:c r="C306" s="236"/>
    </x:row>
    <x:row r="307" spans="1:3" ht="60" customHeight="1" x14ac:dyDescent="0.25">
      <x:c r="A307" s="353"/>
      <x:c r="B307" s="354" t="s">
        <x:v>604</x:v>
      </x:c>
      <x:c r="C307" s="236"/>
    </x:row>
    <x:row r="308" spans="1:3" ht="60" customHeight="1" x14ac:dyDescent="0.25">
      <x:c r="A308" s="353"/>
      <x:c r="B308" s="354" t="s">
        <x:v>605</x:v>
      </x:c>
      <x:c r="C308" s="236"/>
    </x:row>
    <x:row r="309" spans="1:3" ht="75" customHeight="1" x14ac:dyDescent="0.25">
      <x:c r="A309" s="353"/>
      <x:c r="B309" s="354" t="s">
        <x:v>606</x:v>
      </x:c>
      <x:c r="C309" s="236"/>
    </x:row>
    <x:row r="310" spans="1:3" ht="60" customHeight="1" x14ac:dyDescent="0.25">
      <x:c r="A310" s="353"/>
      <x:c r="B310" s="354" t="s">
        <x:v>607</x:v>
      </x:c>
      <x:c r="C310" s="236"/>
    </x:row>
    <x:row r="311" spans="1:3" ht="60" customHeight="1" x14ac:dyDescent="0.25">
      <x:c r="A311" s="353"/>
      <x:c r="B311" s="354" t="s">
        <x:v>608</x:v>
      </x:c>
      <x:c r="C311" s="236"/>
    </x:row>
    <x:row r="312" spans="1:3" ht="60" customHeight="1" x14ac:dyDescent="0.25">
      <x:c r="A312" s="353"/>
      <x:c r="B312" s="354" t="s">
        <x:v>609</x:v>
      </x:c>
      <x:c r="C312" s="236" t="s">
        <x:v>610</x:v>
      </x:c>
    </x:row>
    <x:row r="313" spans="1:3" ht="45" customHeight="1" x14ac:dyDescent="0.25">
      <x:c r="A313" s="353"/>
      <x:c r="B313" s="354" t="s">
        <x:v>611</x:v>
      </x:c>
      <x:c r="C313" s="236"/>
    </x:row>
    <x:row r="314" spans="1:3" ht="45" customHeight="1" x14ac:dyDescent="0.25">
      <x:c r="A314" s="353"/>
      <x:c r="B314" s="354" t="s">
        <x:v>612</x:v>
      </x:c>
      <x:c r="C314" s="236"/>
    </x:row>
    <x:row r="315" spans="1:3" ht="30" customHeight="1" x14ac:dyDescent="0.25">
      <x:c r="A315" s="353"/>
      <x:c r="B315" s="354" t="s">
        <x:v>613</x:v>
      </x:c>
      <x:c r="C315" s="236"/>
    </x:row>
    <x:row r="316" spans="1:3" ht="60" customHeight="1" x14ac:dyDescent="0.25">
      <x:c r="A316" s="353"/>
      <x:c r="B316" s="354" t="s">
        <x:v>614</x:v>
      </x:c>
      <x:c r="C316" s="236"/>
    </x:row>
    <x:row r="317" spans="1:3" ht="45" customHeight="1" x14ac:dyDescent="0.25">
      <x:c r="A317" s="353"/>
      <x:c r="B317" s="354" t="s">
        <x:v>615</x:v>
      </x:c>
      <x:c r="C317" s="236"/>
    </x:row>
    <x:row r="318" spans="1:3" ht="45" customHeight="1" x14ac:dyDescent="0.25">
      <x:c r="A318" s="353"/>
      <x:c r="B318" s="354" t="s">
        <x:v>616</x:v>
      </x:c>
      <x:c r="C318" s="236"/>
    </x:row>
    <x:row r="319" spans="1:3" ht="90" customHeight="1" x14ac:dyDescent="0.25">
      <x:c r="A319" s="353"/>
      <x:c r="B319" s="354" t="s">
        <x:v>617</x:v>
      </x:c>
      <x:c r="C319" s="236"/>
    </x:row>
    <x:row r="320" spans="1:3" ht="45" customHeight="1" x14ac:dyDescent="0.25">
      <x:c r="A320" s="353"/>
      <x:c r="B320" s="354" t="s">
        <x:v>618</x:v>
      </x:c>
      <x:c r="C320" s="236"/>
    </x:row>
    <x:row r="321" spans="1:3" ht="60" customHeight="1" x14ac:dyDescent="0.25">
      <x:c r="A321" s="353"/>
      <x:c r="B321" s="354" t="s">
        <x:v>619</x:v>
      </x:c>
      <x:c r="C321" s="236"/>
    </x:row>
    <x:row r="322" spans="1:3" ht="60" customHeight="1" x14ac:dyDescent="0.25">
      <x:c r="A322" s="353"/>
      <x:c r="B322" s="354" t="s">
        <x:v>620</x:v>
      </x:c>
      <x:c r="C322" s="236" t="s">
        <x:v>621</x:v>
      </x:c>
    </x:row>
    <x:row r="323" spans="1:3" ht="45" customHeight="1" x14ac:dyDescent="0.25">
      <x:c r="A323" s="353"/>
      <x:c r="B323" s="354" t="s">
        <x:v>622</x:v>
      </x:c>
      <x:c r="C323" s="236"/>
    </x:row>
    <x:row r="324" spans="1:3" ht="45" customHeight="1" x14ac:dyDescent="0.25">
      <x:c r="A324" s="353"/>
      <x:c r="B324" s="354" t="s">
        <x:v>623</x:v>
      </x:c>
      <x:c r="C324" s="236"/>
    </x:row>
    <x:row r="325" spans="1:3" ht="60" customHeight="1" x14ac:dyDescent="0.25">
      <x:c r="A325" s="353"/>
      <x:c r="B325" s="354" t="s">
        <x:v>624</x:v>
      </x:c>
      <x:c r="C325" s="236"/>
    </x:row>
    <x:row r="326" spans="1:3" ht="75" customHeight="1" x14ac:dyDescent="0.25">
      <x:c r="A326" s="353"/>
      <x:c r="B326" s="354" t="s">
        <x:v>625</x:v>
      </x:c>
      <x:c r="C326" s="236" t="s">
        <x:v>626</x:v>
      </x:c>
    </x:row>
    <x:row r="327" spans="1:3" ht="45" customHeight="1" x14ac:dyDescent="0.25">
      <x:c r="A327" s="353"/>
      <x:c r="B327" s="354" t="s">
        <x:v>627</x:v>
      </x:c>
      <x:c r="C327" s="236"/>
    </x:row>
    <x:row r="328" spans="1:3" ht="45" customHeight="1" x14ac:dyDescent="0.25">
      <x:c r="A328" s="353"/>
      <x:c r="B328" s="354" t="s">
        <x:v>628</x:v>
      </x:c>
      <x:c r="C328" s="236"/>
    </x:row>
    <x:row r="329" spans="1:3" ht="90" customHeight="1" x14ac:dyDescent="0.25">
      <x:c r="A329" s="353"/>
      <x:c r="B329" s="354" t="s">
        <x:v>629</x:v>
      </x:c>
      <x:c r="C329" s="236"/>
    </x:row>
    <x:row r="330" spans="1:3" ht="30" customHeight="1" x14ac:dyDescent="0.25">
      <x:c r="A330" s="353"/>
      <x:c r="B330" s="354" t="s">
        <x:v>630</x:v>
      </x:c>
      <x:c r="C330" s="236"/>
    </x:row>
    <x:row r="331" spans="1:3" ht="45" customHeight="1" x14ac:dyDescent="0.25">
      <x:c r="A331" s="353"/>
      <x:c r="B331" s="354" t="s">
        <x:v>631</x:v>
      </x:c>
      <x:c r="C331" s="236"/>
    </x:row>
    <x:row r="332" spans="1:3" ht="30" customHeight="1" x14ac:dyDescent="0.25">
      <x:c r="A332" s="353"/>
      <x:c r="B332" s="354" t="s">
        <x:v>632</x:v>
      </x:c>
      <x:c r="C332" s="236"/>
    </x:row>
    <x:row r="333" spans="1:3" ht="60" customHeight="1" x14ac:dyDescent="0.25">
      <x:c r="A333" s="353"/>
      <x:c r="B333" s="354" t="s">
        <x:v>633</x:v>
      </x:c>
      <x:c r="C333" s="236"/>
    </x:row>
    <x:row r="334" spans="1:3" ht="45" customHeight="1" x14ac:dyDescent="0.25">
      <x:c r="A334" s="353"/>
      <x:c r="B334" s="354" t="s">
        <x:v>634</x:v>
      </x:c>
      <x:c r="C334" s="236"/>
    </x:row>
    <x:row r="335" spans="1:3" ht="30" customHeight="1" x14ac:dyDescent="0.25">
      <x:c r="A335" s="353"/>
      <x:c r="B335" s="354" t="s">
        <x:v>635</x:v>
      </x:c>
      <x:c r="C335" s="236"/>
    </x:row>
    <x:row r="336" spans="1:3" x14ac:dyDescent="0.25">
      <x:c r="A336" s="353"/>
      <x:c r="B336" s="354" t="s">
        <x:v>636</x:v>
      </x:c>
      <x:c r="C336" s="236" t="s">
        <x:v>637</x:v>
      </x:c>
    </x:row>
    <x:row r="337" spans="1:3" x14ac:dyDescent="0.25">
      <x:c r="A337" s="353"/>
      <x:c r="B337" s="354" t="s">
        <x:v>638</x:v>
      </x:c>
      <x:c r="C337" s="236"/>
    </x:row>
    <x:row r="338" spans="1:3" x14ac:dyDescent="0.25">
      <x:c r="A338" s="353"/>
      <x:c r="B338" s="354" t="s">
        <x:v>639</x:v>
      </x:c>
      <x:c r="C338" s="236"/>
    </x:row>
    <x:row r="339" spans="1:3" ht="60" customHeight="1" x14ac:dyDescent="0.25">
      <x:c r="A339" s="353"/>
      <x:c r="B339" s="354" t="s">
        <x:v>640</x:v>
      </x:c>
      <x:c r="C339" s="236"/>
    </x:row>
    <x:row r="340" spans="1:3" ht="60" customHeight="1" x14ac:dyDescent="0.25">
      <x:c r="A340" s="353"/>
      <x:c r="B340" s="354" t="s">
        <x:v>641</x:v>
      </x:c>
      <x:c r="C340" s="236"/>
    </x:row>
    <x:row r="341" spans="1:3" ht="30" customHeight="1" x14ac:dyDescent="0.25">
      <x:c r="A341" s="353"/>
      <x:c r="B341" s="354" t="s">
        <x:v>642</x:v>
      </x:c>
      <x:c r="C341" s="236"/>
    </x:row>
    <x:row r="342" spans="1:3" ht="30" customHeight="1" x14ac:dyDescent="0.25">
      <x:c r="A342" s="353"/>
      <x:c r="B342" s="354" t="s">
        <x:v>643</x:v>
      </x:c>
      <x:c r="C342" s="236"/>
    </x:row>
    <x:row r="343" spans="1:3" x14ac:dyDescent="0.25">
      <x:c r="A343" s="353"/>
      <x:c r="B343" s="354" t="s">
        <x:v>644</x:v>
      </x:c>
      <x:c r="C343" s="236"/>
    </x:row>
    <x:row r="344" spans="1:3" x14ac:dyDescent="0.25">
      <x:c r="A344" s="353"/>
      <x:c r="B344" s="355" t="s">
        <x:v>645</x:v>
      </x:c>
      <x:c r="C344" s="236"/>
    </x:row>
    <x:row r="345" spans="1:3" ht="30" customHeight="1" x14ac:dyDescent="0.25">
      <x:c r="A345" s="353"/>
      <x:c r="B345" s="356" t="s">
        <x:v>646</x:v>
      </x:c>
      <x:c r="C345" s="236"/>
    </x:row>
    <x:row r="346" spans="1:3" x14ac:dyDescent="0.25">
      <x:c r="A346" s="353"/>
      <x:c r="B346" s="355" t="s">
        <x:v>647</x:v>
      </x:c>
      <x:c r="C346" s="236" t="s">
        <x:v>648</x:v>
      </x:c>
    </x:row>
    <x:row r="347" spans="1:3" x14ac:dyDescent="0.25">
      <x:c r="A347" s="353"/>
      <x:c r="B347" s="356" t="s">
        <x:v>649</x:v>
      </x:c>
      <x:c r="C347" s="236"/>
    </x:row>
    <x:row r="348" spans="1:3" ht="30" customHeight="1" x14ac:dyDescent="0.25">
      <x:c r="A348" s="353"/>
      <x:c r="B348" s="356" t="s">
        <x:v>650</x:v>
      </x:c>
      <x:c r="C348" s="236"/>
    </x:row>
    <x:row r="349" spans="1:3" ht="30" customHeight="1" x14ac:dyDescent="0.25">
      <x:c r="A349" s="353"/>
      <x:c r="B349" s="356" t="s">
        <x:v>651</x:v>
      </x:c>
      <x:c r="C349" s="236"/>
    </x:row>
    <x:row r="350" spans="1:3" ht="30" customHeight="1" x14ac:dyDescent="0.25">
      <x:c r="A350" s="353"/>
      <x:c r="B350" s="356" t="s">
        <x:v>652</x:v>
      </x:c>
      <x:c r="C350" s="236"/>
    </x:row>
    <x:row r="351" spans="1:3" ht="45" customHeight="1" x14ac:dyDescent="0.25">
      <x:c r="A351" s="353"/>
      <x:c r="B351" s="356" t="s">
        <x:v>653</x:v>
      </x:c>
      <x:c r="C351" s="236"/>
    </x:row>
    <x:row r="352" spans="1:3" ht="30" customHeight="1" x14ac:dyDescent="0.25">
      <x:c r="A352" s="353"/>
      <x:c r="B352" s="354" t="s">
        <x:v>654</x:v>
      </x:c>
      <x:c r="C352" s="236"/>
    </x:row>
    <x:row r="353" spans="1:3" ht="30" customHeight="1" x14ac:dyDescent="0.25">
      <x:c r="A353" s="353"/>
      <x:c r="B353" s="354" t="s">
        <x:v>655</x:v>
      </x:c>
      <x:c r="C353" s="236"/>
    </x:row>
    <x:row r="354" spans="1:3" x14ac:dyDescent="0.25">
      <x:c r="A354" s="353"/>
      <x:c r="B354" s="354" t="s">
        <x:v>656</x:v>
      </x:c>
      <x:c r="C354" s="236"/>
    </x:row>
    <x:row r="355" spans="1:3" ht="30" customHeight="1" x14ac:dyDescent="0.25">
      <x:c r="A355" s="353"/>
      <x:c r="B355" s="354" t="s">
        <x:v>657</x:v>
      </x:c>
      <x:c r="C355" s="236"/>
    </x:row>
    <x:row r="356" spans="1:3" x14ac:dyDescent="0.25">
      <x:c r="A356" s="353"/>
      <x:c r="B356" s="354" t="s">
        <x:v>658</x:v>
      </x:c>
      <x:c r="C356" s="236"/>
    </x:row>
    <x:row r="357" spans="1:3" ht="30" customHeight="1" x14ac:dyDescent="0.25">
      <x:c r="A357" s="353"/>
      <x:c r="B357" s="354" t="s">
        <x:v>659</x:v>
      </x:c>
      <x:c r="C357" s="236"/>
    </x:row>
    <x:row r="358" spans="1:3" x14ac:dyDescent="0.25">
      <x:c r="A358" s="353"/>
      <x:c r="B358" s="354" t="s">
        <x:v>660</x:v>
      </x:c>
      <x:c r="C358" s="236"/>
    </x:row>
    <x:row r="359" spans="1:3" x14ac:dyDescent="0.25">
      <x:c r="A359" s="353"/>
      <x:c r="B359" s="354" t="s">
        <x:v>661</x:v>
      </x:c>
      <x:c r="C359" s="236"/>
    </x:row>
    <x:row r="360" spans="1:3" ht="30" customHeight="1" x14ac:dyDescent="0.25">
      <x:c r="A360" s="353"/>
      <x:c r="B360" s="354" t="s">
        <x:v>662</x:v>
      </x:c>
      <x:c r="C360" s="236"/>
    </x:row>
    <x:row r="361" spans="1:3" x14ac:dyDescent="0.25">
      <x:c r="A361" s="353"/>
      <x:c r="B361" s="354" t="s">
        <x:v>663</x:v>
      </x:c>
      <x:c r="C361" s="236"/>
    </x:row>
    <x:row r="362" spans="1:3" ht="30" customHeight="1" x14ac:dyDescent="0.25">
      <x:c r="A362" s="353"/>
      <x:c r="B362" s="354" t="s">
        <x:v>664</x:v>
      </x:c>
      <x:c r="C362" s="236"/>
    </x:row>
    <x:row r="363" spans="1:3" ht="30.75" customHeight="1" x14ac:dyDescent="0.25">
      <x:c r="A363" s="357"/>
      <x:c r="B363" s="358" t="s">
        <x:v>665</x:v>
      </x:c>
      <x:c r="C363" s="248"/>
    </x:row>
    <x:row r="364" spans="1:3" ht="15.75" customHeight="1" x14ac:dyDescent="0.25">
      <x:c r="A364" s="359" t="s">
        <x:v>666</x:v>
      </x:c>
      <x:c r="B364" s="360" t="s">
        <x:v>667</x:v>
      </x:c>
      <x:c r="C364" s="1" t="s">
        <x:v>668</x:v>
      </x:c>
    </x:row>
    <x:row r="365" spans="1:3" x14ac:dyDescent="0.25">
      <x:c r="A365" s="361"/>
      <x:c r="B365" s="360" t="s">
        <x:v>669</x:v>
      </x:c>
      <x:c r="C365" s="1"/>
    </x:row>
    <x:row r="366" spans="1:3" x14ac:dyDescent="0.25">
      <x:c r="A366" s="361"/>
      <x:c r="B366" s="360" t="s">
        <x:v>670</x:v>
      </x:c>
      <x:c r="C366" s="1"/>
    </x:row>
    <x:row r="367" spans="1:3" ht="45" customHeight="1" x14ac:dyDescent="0.25">
      <x:c r="A367" s="361"/>
      <x:c r="B367" s="360" t="s">
        <x:v>671</x:v>
      </x:c>
      <x:c r="C367" s="1"/>
    </x:row>
    <x:row r="368" spans="1:3" ht="30" customHeight="1" x14ac:dyDescent="0.25">
      <x:c r="A368" s="361"/>
      <x:c r="B368" s="360" t="s">
        <x:v>672</x:v>
      </x:c>
      <x:c r="C368" s="1"/>
    </x:row>
    <x:row r="369" spans="1:3" x14ac:dyDescent="0.25">
      <x:c r="A369" s="361"/>
      <x:c r="B369" s="360" t="s">
        <x:v>673</x:v>
      </x:c>
      <x:c r="C369" s="1" t="s">
        <x:v>674</x:v>
      </x:c>
    </x:row>
    <x:row r="370" spans="1:3" x14ac:dyDescent="0.25">
      <x:c r="A370" s="361"/>
      <x:c r="B370" s="360" t="s">
        <x:v>675</x:v>
      </x:c>
      <x:c r="C370" s="1"/>
    </x:row>
    <x:row r="371" spans="1:3" x14ac:dyDescent="0.25">
      <x:c r="A371" s="361"/>
      <x:c r="B371" s="360" t="s">
        <x:v>676</x:v>
      </x:c>
      <x:c r="C371" s="1"/>
    </x:row>
    <x:row r="372" spans="1:3" ht="15" customHeight="1" x14ac:dyDescent="0.25">
      <x:c r="A372" s="361"/>
      <x:c r="B372" s="360" t="s">
        <x:v>677</x:v>
      </x:c>
      <x:c r="C372" s="1" t="s">
        <x:v>678</x:v>
      </x:c>
    </x:row>
    <x:row r="373" spans="1:3" x14ac:dyDescent="0.25">
      <x:c r="A373" s="361"/>
      <x:c r="B373" s="360" t="s">
        <x:v>679</x:v>
      </x:c>
      <x:c r="C373" s="1"/>
    </x:row>
    <x:row r="374" spans="1:3" ht="30" customHeight="1" x14ac:dyDescent="0.25">
      <x:c r="A374" s="361"/>
      <x:c r="B374" s="360" t="s">
        <x:v>680</x:v>
      </x:c>
      <x:c r="C374" s="1"/>
    </x:row>
    <x:row r="375" spans="1:3" x14ac:dyDescent="0.25">
      <x:c r="A375" s="361"/>
      <x:c r="B375" s="360" t="s">
        <x:v>681</x:v>
      </x:c>
      <x:c r="C375" s="1"/>
    </x:row>
    <x:row r="376" spans="1:3" ht="15" customHeight="1" x14ac:dyDescent="0.25">
      <x:c r="A376" s="361"/>
      <x:c r="B376" s="360" t="s">
        <x:v>682</x:v>
      </x:c>
      <x:c r="C376" s="1"/>
    </x:row>
    <x:row r="377" spans="1:3" x14ac:dyDescent="0.25">
      <x:c r="A377" s="361"/>
      <x:c r="B377" s="360" t="s">
        <x:v>683</x:v>
      </x:c>
      <x:c r="C377" s="1"/>
    </x:row>
    <x:row r="378" spans="1:3" x14ac:dyDescent="0.25">
      <x:c r="A378" s="361"/>
      <x:c r="B378" s="360" t="s">
        <x:v>684</x:v>
      </x:c>
      <x:c r="C378" s="1"/>
    </x:row>
    <x:row r="379" spans="1:3" x14ac:dyDescent="0.25">
      <x:c r="A379" s="361"/>
      <x:c r="B379" s="360" t="s">
        <x:v>685</x:v>
      </x:c>
      <x:c r="C379" s="1"/>
    </x:row>
    <x:row r="380" spans="1:3" ht="15" customHeight="1" x14ac:dyDescent="0.25">
      <x:c r="A380" s="361"/>
      <x:c r="B380" s="360" t="s">
        <x:v>686</x:v>
      </x:c>
      <x:c r="C380" s="1"/>
    </x:row>
    <x:row r="381" spans="1:3" ht="30" customHeight="1" x14ac:dyDescent="0.25">
      <x:c r="A381" s="361"/>
      <x:c r="B381" s="360" t="s">
        <x:v>687</x:v>
      </x:c>
      <x:c r="C381" s="1"/>
    </x:row>
    <x:row r="382" spans="1:3" ht="30" customHeight="1" x14ac:dyDescent="0.25">
      <x:c r="A382" s="361"/>
      <x:c r="B382" s="360" t="s">
        <x:v>688</x:v>
      </x:c>
      <x:c r="C382" s="1"/>
    </x:row>
    <x:row r="383" spans="1:3" x14ac:dyDescent="0.25">
      <x:c r="A383" s="361"/>
      <x:c r="B383" s="360" t="s">
        <x:v>689</x:v>
      </x:c>
      <x:c r="C383" s="1"/>
    </x:row>
    <x:row r="384" spans="1:3" ht="30" customHeight="1" x14ac:dyDescent="0.25">
      <x:c r="A384" s="361"/>
      <x:c r="B384" s="362" t="s">
        <x:v>690</x:v>
      </x:c>
      <x:c r="C384" s="1"/>
    </x:row>
    <x:row r="385" spans="1:3" ht="30" customHeight="1" x14ac:dyDescent="0.25">
      <x:c r="A385" s="361"/>
      <x:c r="B385" s="360" t="s">
        <x:v>691</x:v>
      </x:c>
      <x:c r="C385" s="1"/>
    </x:row>
    <x:row r="386" spans="1:3" ht="30" customHeight="1" x14ac:dyDescent="0.25">
      <x:c r="A386" s="361"/>
      <x:c r="B386" s="360" t="s">
        <x:v>692</x:v>
      </x:c>
      <x:c r="C386" s="1"/>
    </x:row>
    <x:row r="387" spans="1:3" ht="33.75" customHeight="1" x14ac:dyDescent="0.25">
      <x:c r="A387" s="361"/>
      <x:c r="B387" s="360" t="s">
        <x:v>693</x:v>
      </x:c>
      <x:c r="C387" s="1"/>
    </x:row>
    <x:row r="388" spans="1:3" ht="30" customHeight="1" x14ac:dyDescent="0.25">
      <x:c r="A388" s="361"/>
      <x:c r="B388" s="360" t="s">
        <x:v>694</x:v>
      </x:c>
      <x:c r="C388" s="1"/>
    </x:row>
    <x:row r="389" spans="1:3" x14ac:dyDescent="0.25">
      <x:c r="A389" s="361"/>
      <x:c r="B389" s="18" t="s">
        <x:v>695</x:v>
      </x:c>
      <x:c r="C389" s="1"/>
    </x:row>
    <x:row r="390" spans="1:3" ht="15" customHeight="1" x14ac:dyDescent="0.25">
      <x:c r="A390" s="361"/>
      <x:c r="B390" s="22" t="s">
        <x:v>696</x:v>
      </x:c>
      <x:c r="C390" s="1" t="s">
        <x:v>697</x:v>
      </x:c>
    </x:row>
    <x:row r="391" spans="1:3" ht="30" customHeight="1" x14ac:dyDescent="0.25">
      <x:c r="A391" s="361"/>
      <x:c r="B391" s="22" t="s">
        <x:v>698</x:v>
      </x:c>
      <x:c r="C391" s="1"/>
    </x:row>
    <x:row r="392" spans="1:3" ht="30" customHeight="1" x14ac:dyDescent="0.25">
      <x:c r="A392" s="361"/>
      <x:c r="B392" s="22" t="s">
        <x:v>699</x:v>
      </x:c>
      <x:c r="C392" s="1"/>
    </x:row>
    <x:row r="393" spans="1:3" x14ac:dyDescent="0.25">
      <x:c r="A393" s="361"/>
      <x:c r="B393" s="22" t="s">
        <x:v>700</x:v>
      </x:c>
      <x:c r="C393" s="1"/>
    </x:row>
    <x:row r="394" spans="1:3" ht="30" customHeight="1" x14ac:dyDescent="0.25">
      <x:c r="A394" s="361"/>
      <x:c r="B394" s="22" t="s">
        <x:v>701</x:v>
      </x:c>
      <x:c r="C394" s="1"/>
    </x:row>
    <x:row r="395" spans="1:3" ht="30" customHeight="1" x14ac:dyDescent="0.25">
      <x:c r="A395" s="361"/>
      <x:c r="B395" s="22" t="s">
        <x:v>702</x:v>
      </x:c>
      <x:c r="C395" s="1"/>
    </x:row>
    <x:row r="396" spans="1:3" ht="30" customHeight="1" x14ac:dyDescent="0.25">
      <x:c r="A396" s="361"/>
      <x:c r="B396" s="22" t="s">
        <x:v>703</x:v>
      </x:c>
      <x:c r="C396" s="1"/>
    </x:row>
    <x:row r="397" spans="1:3" ht="30" customHeight="1" x14ac:dyDescent="0.25">
      <x:c r="A397" s="361"/>
      <x:c r="B397" s="22" t="s">
        <x:v>704</x:v>
      </x:c>
      <x:c r="C397" s="1"/>
    </x:row>
    <x:row r="398" spans="1:3" x14ac:dyDescent="0.25">
      <x:c r="A398" s="361"/>
      <x:c r="B398" s="22" t="s">
        <x:v>705</x:v>
      </x:c>
      <x:c r="C398" s="1"/>
    </x:row>
    <x:row r="399" spans="1:3" ht="30" customHeight="1" x14ac:dyDescent="0.25">
      <x:c r="A399" s="361"/>
      <x:c r="B399" s="22" t="s">
        <x:v>706</x:v>
      </x:c>
      <x:c r="C399" s="1"/>
    </x:row>
    <x:row r="400" spans="1:3" ht="30" customHeight="1" x14ac:dyDescent="0.25">
      <x:c r="A400" s="361"/>
      <x:c r="B400" s="22" t="s">
        <x:v>707</x:v>
      </x:c>
      <x:c r="C400" s="1"/>
    </x:row>
    <x:row r="401" spans="1:3" ht="30" customHeight="1" x14ac:dyDescent="0.25">
      <x:c r="A401" s="361"/>
      <x:c r="B401" s="22" t="s">
        <x:v>708</x:v>
      </x:c>
      <x:c r="C401" s="1" t="s">
        <x:v>709</x:v>
      </x:c>
    </x:row>
    <x:row r="402" spans="1:3" x14ac:dyDescent="0.25">
      <x:c r="A402" s="361"/>
      <x:c r="B402" s="22" t="s">
        <x:v>710</x:v>
      </x:c>
      <x:c r="C402" s="1"/>
    </x:row>
    <x:row r="403" spans="1:3" ht="30" customHeight="1" x14ac:dyDescent="0.25">
      <x:c r="A403" s="361"/>
      <x:c r="B403" s="22" t="s">
        <x:v>711</x:v>
      </x:c>
      <x:c r="C403" s="1"/>
    </x:row>
    <x:row r="404" spans="1:3" ht="30" customHeight="1" x14ac:dyDescent="0.25">
      <x:c r="A404" s="361"/>
      <x:c r="B404" s="22" t="s">
        <x:v>712</x:v>
      </x:c>
      <x:c r="C404" s="1"/>
    </x:row>
    <x:row r="405" spans="1:3" x14ac:dyDescent="0.25">
      <x:c r="A405" s="361"/>
      <x:c r="B405" s="22" t="s">
        <x:v>713</x:v>
      </x:c>
      <x:c r="C405" s="1"/>
    </x:row>
    <x:row r="406" spans="1:3" x14ac:dyDescent="0.25">
      <x:c r="A406" s="361"/>
      <x:c r="B406" s="22" t="s">
        <x:v>714</x:v>
      </x:c>
      <x:c r="C406" s="1"/>
    </x:row>
    <x:row r="407" spans="1:3" x14ac:dyDescent="0.25">
      <x:c r="A407" s="361"/>
      <x:c r="B407" s="22" t="s">
        <x:v>715</x:v>
      </x:c>
      <x:c r="C407" s="1"/>
    </x:row>
    <x:row r="408" spans="1:3" x14ac:dyDescent="0.25">
      <x:c r="A408" s="361"/>
      <x:c r="B408" s="22" t="s">
        <x:v>716</x:v>
      </x:c>
      <x:c r="C408" s="1"/>
    </x:row>
  </x:sheetData>
  <x:mergeCells count="50">
    <x:mergeCell ref="A2:A26"/>
    <x:mergeCell ref="C2:C26"/>
    <x:mergeCell ref="A27:A32"/>
    <x:mergeCell ref="C27:C32"/>
    <x:mergeCell ref="A33:A71"/>
    <x:mergeCell ref="C33:C71"/>
    <x:mergeCell ref="A72:A84"/>
    <x:mergeCell ref="C72:C84"/>
    <x:mergeCell ref="A85:A99"/>
    <x:mergeCell ref="C85:C87"/>
    <x:mergeCell ref="C88:C99"/>
    <x:mergeCell ref="A100:A143"/>
    <x:mergeCell ref="C100:C143"/>
    <x:mergeCell ref="A144:A149"/>
    <x:mergeCell ref="C144:C149"/>
    <x:mergeCell ref="A150:A209"/>
    <x:mergeCell ref="C150:C209"/>
    <x:mergeCell ref="A210:A299"/>
    <x:mergeCell ref="C210:C212"/>
    <x:mergeCell ref="C213:C216"/>
    <x:mergeCell ref="C217:C242"/>
    <x:mergeCell ref="C243:C245"/>
    <x:mergeCell ref="C247:C258"/>
    <x:mergeCell ref="C259:C262"/>
    <x:mergeCell ref="C263:C270"/>
    <x:mergeCell ref="C271:C274"/>
    <x:mergeCell ref="C275:C278"/>
    <x:mergeCell ref="C279:C281"/>
    <x:mergeCell ref="C282:C289"/>
    <x:mergeCell ref="C290:C296"/>
    <x:mergeCell ref="C297:C299"/>
    <x:mergeCell ref="A300:A363"/>
    <x:mergeCell ref="C300:C302"/>
    <x:mergeCell ref="C303:C304"/>
    <x:mergeCell ref="C305:C306"/>
    <x:mergeCell ref="C307:C311"/>
    <x:mergeCell ref="C312:C321"/>
    <x:mergeCell ref="C322:C325"/>
    <x:mergeCell ref="C326:C329"/>
    <x:mergeCell ref="C330:C335"/>
    <x:mergeCell ref="C336:C338"/>
    <x:mergeCell ref="C339:C345"/>
    <x:mergeCell ref="C346:C352"/>
    <x:mergeCell ref="C353:C363"/>
    <x:mergeCell ref="A364:A408"/>
    <x:mergeCell ref="C364:C368"/>
    <x:mergeCell ref="C369:C371"/>
    <x:mergeCell ref="C372:C374"/>
    <x:mergeCell ref="C390:C400"/>
    <x:mergeCell ref="C401:C40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Стандарт</vt:lpstr>
      <vt:lpstr>Ивентовые</vt:lpstr>
      <vt:lpstr>Прокачка</vt:lpstr>
      <vt:lpstr>Задания</vt:lpstr>
      <vt:lpstr>Стандарт!Print_Area</vt:lpstr>
      <vt:lpstr>Стандарт!Print_Titles</vt:lpstr>
      <vt:lpstr>Ивентовые!Print_Area</vt:lpstr>
      <vt:lpstr>Ивентовые!Print_Titles</vt:lpstr>
      <vt:lpstr>Прокачка!Print_Area</vt:lpstr>
      <vt:lpstr>Прокачка!Print_Titles</vt:lpstr>
      <vt:lpstr>Задания!Print_Area</vt:lpstr>
      <vt:lpstr>Задания!Print_Titles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Илья Винокуров</dc:creator>
  <lastModifiedBy>Илья Винокуров</lastModifiedBy>
  <dcterms:created xsi:type="dcterms:W3CDTF">2023-07-28T14:15:07.0000000Z</dcterms:created>
  <dcterms:modified xsi:type="dcterms:W3CDTF">2026-04-28T14:05:50.0000000Z</dcterms:modified>
</coreProperties>
</file>